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ocuments\KVS Admission Management System\"/>
    </mc:Choice>
  </mc:AlternateContent>
  <xr:revisionPtr revIDLastSave="0" documentId="13_ncr:1_{90181952-662D-4416-84B1-05C798542FA6}" xr6:coauthVersionLast="47" xr6:coauthVersionMax="47" xr10:uidLastSave="{00000000-0000-0000-0000-000000000000}"/>
  <bookViews>
    <workbookView xWindow="-120" yWindow="-120" windowWidth="20730" windowHeight="11160" xr2:uid="{E30F69B2-27A7-43C0-99D8-38BD2E6B8B48}"/>
  </bookViews>
  <sheets>
    <sheet name="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2" i="1"/>
</calcChain>
</file>

<file path=xl/sharedStrings.xml><?xml version="1.0" encoding="utf-8"?>
<sst xmlns="http://schemas.openxmlformats.org/spreadsheetml/2006/main" count="366" uniqueCount="287">
  <si>
    <t>Sr. No.</t>
  </si>
  <si>
    <t>Registration No.</t>
  </si>
  <si>
    <t>Name</t>
  </si>
  <si>
    <t>Gender</t>
  </si>
  <si>
    <t>Father Name</t>
  </si>
  <si>
    <t>Mother Name</t>
  </si>
  <si>
    <t>Date of Birth</t>
  </si>
  <si>
    <t>Adm. Category</t>
  </si>
  <si>
    <t>Social Category</t>
  </si>
  <si>
    <t>CwSN (YES/NO)</t>
  </si>
  <si>
    <t>No. of Transfers (Last 7 years)</t>
  </si>
  <si>
    <t>Mobile</t>
  </si>
  <si>
    <t>KVD/I/2026-27/001</t>
  </si>
  <si>
    <t>KVD/I/2026-27/002</t>
  </si>
  <si>
    <t>KVD/I/2026-27/003</t>
  </si>
  <si>
    <t>KVD/I/2026-27/004</t>
  </si>
  <si>
    <t>KVD/I/2026-27/005</t>
  </si>
  <si>
    <t>KVD/I/2026-27/006</t>
  </si>
  <si>
    <t>KVD/I/2026-27/007</t>
  </si>
  <si>
    <t>KVD/I/2026-27/008</t>
  </si>
  <si>
    <t>KVD/I/2026-27/009</t>
  </si>
  <si>
    <t>KVD/I/2026-27/010</t>
  </si>
  <si>
    <t>KVD/I/2026-27/011</t>
  </si>
  <si>
    <t>KVD/I/2026-27/012</t>
  </si>
  <si>
    <t>KVD/I/2026-27/013</t>
  </si>
  <si>
    <t>KVD/I/2026-27/014</t>
  </si>
  <si>
    <t>KVD/I/2026-27/015</t>
  </si>
  <si>
    <t>KVD/I/2026-27/016</t>
  </si>
  <si>
    <t>KVD/I/2026-27/017</t>
  </si>
  <si>
    <t>KVD/I/2026-27/018</t>
  </si>
  <si>
    <t>KVD/I/2026-27/019</t>
  </si>
  <si>
    <t>KVD/I/2026-27/020</t>
  </si>
  <si>
    <t>KVD/I/2026-27/021</t>
  </si>
  <si>
    <t>KVD/I/2026-27/022</t>
  </si>
  <si>
    <t>KVD/I/2026-27/023</t>
  </si>
  <si>
    <t>KVD/I/2026-27/024</t>
  </si>
  <si>
    <t>KVD/I/2026-27/025</t>
  </si>
  <si>
    <t>KVD/I/2026-27/026</t>
  </si>
  <si>
    <t>KVD/I/2026-27/027</t>
  </si>
  <si>
    <t>KVD/I/2026-27/028</t>
  </si>
  <si>
    <t>KVD/I/2026-27/029</t>
  </si>
  <si>
    <t>KVD/I/2026-27/030</t>
  </si>
  <si>
    <t>KVD/I/2026-27/031</t>
  </si>
  <si>
    <t>KVD/I/2026-27/032</t>
  </si>
  <si>
    <t>KVD/I/2026-27/033</t>
  </si>
  <si>
    <t>KVD/I/2026-27/034</t>
  </si>
  <si>
    <t>KVD/I/2026-27/035</t>
  </si>
  <si>
    <t>KVD/I/2026-27/036</t>
  </si>
  <si>
    <t>KVD/I/2026-27/037</t>
  </si>
  <si>
    <t>KVD/I/2026-27/038</t>
  </si>
  <si>
    <t>KVD/I/2026-27/039</t>
  </si>
  <si>
    <t>KVD/I/2026-27/040</t>
  </si>
  <si>
    <t>KVD/I/2026-27/041</t>
  </si>
  <si>
    <t>KVD/I/2026-27/042</t>
  </si>
  <si>
    <t>KVD/I/2026-27/043</t>
  </si>
  <si>
    <t>KVD/I/2026-27/044</t>
  </si>
  <si>
    <t>KVD/I/2026-27/045</t>
  </si>
  <si>
    <t>KVD/I/2026-27/046</t>
  </si>
  <si>
    <t>KVD/I/2026-27/047</t>
  </si>
  <si>
    <t>KVD/I/2026-27/048</t>
  </si>
  <si>
    <t>KVD/I/2026-27/049</t>
  </si>
  <si>
    <t>KVD/I/2026-27/050</t>
  </si>
  <si>
    <t>KVD/I/2026-27/051</t>
  </si>
  <si>
    <t>KVD/I/2026-27/052</t>
  </si>
  <si>
    <t>KVD/I/2026-27/053</t>
  </si>
  <si>
    <t>KVD/I/2026-27/054</t>
  </si>
  <si>
    <t>KVD/I/2026-27/055</t>
  </si>
  <si>
    <t>KVD/I/2026-27/056</t>
  </si>
  <si>
    <t>KVD/I/2026-27/057</t>
  </si>
  <si>
    <t>KVD/I/2026-27/058</t>
  </si>
  <si>
    <t>KVD/I/2026-27/059</t>
  </si>
  <si>
    <t>KVD/I/2026-27/060</t>
  </si>
  <si>
    <t>KVD/I/2026-27/061</t>
  </si>
  <si>
    <t>KVD/I/2026-27/062</t>
  </si>
  <si>
    <t>KVD/I/2026-27/063</t>
  </si>
  <si>
    <t>KVD/I/2026-27/064</t>
  </si>
  <si>
    <t>KVD/I/2026-27/065</t>
  </si>
  <si>
    <t>KVD/I/2026-27/066</t>
  </si>
  <si>
    <t>KVD/I/2026-27/067</t>
  </si>
  <si>
    <t>KVD/I/2026-27/068</t>
  </si>
  <si>
    <t>KVD/I/2026-27/069</t>
  </si>
  <si>
    <t>KVD/I/2026-27/070</t>
  </si>
  <si>
    <t>KVD/I/2026-27/071</t>
  </si>
  <si>
    <t>KVD/I/2026-27/072</t>
  </si>
  <si>
    <t>KVD/I/2026-27/073</t>
  </si>
  <si>
    <t>KVD/I/2026-27/074</t>
  </si>
  <si>
    <t>KVD/I/2026-27/075</t>
  </si>
  <si>
    <t>KVD/I/2026-27/076</t>
  </si>
  <si>
    <t>KVD/I/2026-27/077</t>
  </si>
  <si>
    <t>KVD/I/2026-27/078</t>
  </si>
  <si>
    <t>KVD/I/2026-27/079</t>
  </si>
  <si>
    <t>KVD/I/2026-27/080</t>
  </si>
  <si>
    <t>KVD/I/2026-27/081</t>
  </si>
  <si>
    <t>KVD/I/2026-27/082</t>
  </si>
  <si>
    <t>KVD/I/2026-27/083</t>
  </si>
  <si>
    <t>KVD/I/2026-27/084</t>
  </si>
  <si>
    <t>KVD/I/2026-27/085</t>
  </si>
  <si>
    <t>KVD/I/2026-27/086</t>
  </si>
  <si>
    <t>KVD/I/2026-27/087</t>
  </si>
  <si>
    <t>KVD/I/2026-27/088</t>
  </si>
  <si>
    <t>KVD/I/2026-27/089</t>
  </si>
  <si>
    <t>KVD/I/2026-27/090</t>
  </si>
  <si>
    <t>KVD/I/2026-27/091</t>
  </si>
  <si>
    <t>KVD/I/2026-27/092</t>
  </si>
  <si>
    <t>KVD/I/2026-27/093</t>
  </si>
  <si>
    <t>KVD/I/2026-27/094</t>
  </si>
  <si>
    <t>KVD/I/2026-27/095</t>
  </si>
  <si>
    <t>KVD/I/2026-27/096</t>
  </si>
  <si>
    <t>KVD/I/2026-27/097</t>
  </si>
  <si>
    <t>KVD/I/2026-27/098</t>
  </si>
  <si>
    <t>KVD/I/2026-27/099</t>
  </si>
  <si>
    <t>KVD/I/2026-27/100</t>
  </si>
  <si>
    <t>KVD/I/2026-27/101</t>
  </si>
  <si>
    <t>KVD/I/2026-27/102</t>
  </si>
  <si>
    <t>KVD/I/2026-27/103</t>
  </si>
  <si>
    <t>KVD/I/2026-27/104</t>
  </si>
  <si>
    <t>KVD/I/2026-27/105</t>
  </si>
  <si>
    <t>KVD/I/2026-27/106</t>
  </si>
  <si>
    <t>KVD/I/2026-27/107</t>
  </si>
  <si>
    <t>KVD/I/2026-27/108</t>
  </si>
  <si>
    <t>KVD/I/2026-27/109</t>
  </si>
  <si>
    <t>KVD/I/2026-27/110</t>
  </si>
  <si>
    <t>KVD/I/2026-27/111</t>
  </si>
  <si>
    <t>KVD/I/2026-27/112</t>
  </si>
  <si>
    <t>KVD/I/2026-27/113</t>
  </si>
  <si>
    <t>KVD/I/2026-27/114</t>
  </si>
  <si>
    <t>KVD/I/2026-27/115</t>
  </si>
  <si>
    <t>KVD/I/2026-27/116</t>
  </si>
  <si>
    <t>KVD/I/2026-27/117</t>
  </si>
  <si>
    <t>KVD/I/2026-27/118</t>
  </si>
  <si>
    <t>KVD/I/2026-27/119</t>
  </si>
  <si>
    <t>KVD/I/2026-27/120</t>
  </si>
  <si>
    <t>ANJU KUMARI</t>
  </si>
  <si>
    <t>DIVYANSH KUMAR</t>
  </si>
  <si>
    <t>RIDHIMAN KUMAR</t>
  </si>
  <si>
    <t>RAJIV RAJ</t>
  </si>
  <si>
    <t>NANDANI KUMARI</t>
  </si>
  <si>
    <t>PRIYAL KUMAR</t>
  </si>
  <si>
    <t>ANISH KUMAR</t>
  </si>
  <si>
    <t>ARYAN KUMAR</t>
  </si>
  <si>
    <t>AAYANSH KUMAR</t>
  </si>
  <si>
    <t>SHIVANI KUMARI</t>
  </si>
  <si>
    <t>ADITI</t>
  </si>
  <si>
    <t>ANAS KHAN</t>
  </si>
  <si>
    <t>MD FAWAD KHAN</t>
  </si>
  <si>
    <t>RISHABH KUMAR</t>
  </si>
  <si>
    <t>ANKUSH RAJ</t>
  </si>
  <si>
    <t>RAKHI KUMARI</t>
  </si>
  <si>
    <t>UTKARSH KUMAR</t>
  </si>
  <si>
    <t>NITYAM KUMAR</t>
  </si>
  <si>
    <t>MANI KANT KUMAR</t>
  </si>
  <si>
    <t>SURAJ KUMAR</t>
  </si>
  <si>
    <t>MANISHA KUMARI</t>
  </si>
  <si>
    <t>LATA DEVI</t>
  </si>
  <si>
    <t>ADITYA RAJ</t>
  </si>
  <si>
    <t>SHRAVYA SUMAN</t>
  </si>
  <si>
    <t>PRAGYA KUMARI</t>
  </si>
  <si>
    <t>PUJA KUMARI</t>
  </si>
  <si>
    <t>TEJAS KUMAR</t>
  </si>
  <si>
    <t>SHANVI SHAINI</t>
  </si>
  <si>
    <t>VAISHNAVI KUMARI</t>
  </si>
  <si>
    <t>SHARDA KUMARI</t>
  </si>
  <si>
    <t>Girl</t>
  </si>
  <si>
    <t>Boy</t>
  </si>
  <si>
    <t>CHANARDHAN KUMAR</t>
  </si>
  <si>
    <t>PRAPHULLCHANDRA SUMAN</t>
  </si>
  <si>
    <t>ASHUTOSH MISHRA</t>
  </si>
  <si>
    <t>RAMAKBAL PRASAD</t>
  </si>
  <si>
    <t>AMRENDRA KUMAR</t>
  </si>
  <si>
    <t>RAMNATH KUMAR</t>
  </si>
  <si>
    <t>RANAPRATAP THAKUR</t>
  </si>
  <si>
    <t>ASHOK KUMAR</t>
  </si>
  <si>
    <t>RAJNISH KUMAR</t>
  </si>
  <si>
    <t>DHARMENDRA SAW</t>
  </si>
  <si>
    <t>AMIT KUMAR</t>
  </si>
  <si>
    <t>TAKI KHAN</t>
  </si>
  <si>
    <t>MD MERAJUDDIN KHAN</t>
  </si>
  <si>
    <t>DHANANJAY KUMAR</t>
  </si>
  <si>
    <t>KABINDRA KUMAR</t>
  </si>
  <si>
    <t>NIRAJ KUMAR</t>
  </si>
  <si>
    <t>SHIVENDRA PRASAD</t>
  </si>
  <si>
    <t>MOHIT KUMAR PANDEY</t>
  </si>
  <si>
    <t>RANJAN KUMAR</t>
  </si>
  <si>
    <t>SANOJ KUMAR</t>
  </si>
  <si>
    <t>BABLU SINGH</t>
  </si>
  <si>
    <t>NITISH KUMAR</t>
  </si>
  <si>
    <t>RAVI KUMAR</t>
  </si>
  <si>
    <t xml:space="preserve"> SHASHI KUMAR</t>
  </si>
  <si>
    <t>CHANDAN KUMAR</t>
  </si>
  <si>
    <t>RAMESH KUMAR RAM</t>
  </si>
  <si>
    <t>LAWKESH KUMAR</t>
  </si>
  <si>
    <t>RAJ KISHOR BHAGAT</t>
  </si>
  <si>
    <t>DHARMENDRA KUMAR</t>
  </si>
  <si>
    <t>BINAY KUMAR</t>
  </si>
  <si>
    <t>PAPPU SHAW</t>
  </si>
  <si>
    <t>RANJAN ARYAN</t>
  </si>
  <si>
    <t>MINA KUMARI</t>
  </si>
  <si>
    <t>BASANTI KUMARI</t>
  </si>
  <si>
    <t>SHARDA MISHRA</t>
  </si>
  <si>
    <t>SHARSHAWATI DEVI</t>
  </si>
  <si>
    <t>GEETANJLLI KUMARI</t>
  </si>
  <si>
    <t>POOJA KUMARI</t>
  </si>
  <si>
    <t>GUDIYA KUMARI</t>
  </si>
  <si>
    <t>NEHA KUMARI</t>
  </si>
  <si>
    <t>SANGITA KUMARI</t>
  </si>
  <si>
    <t>KIRAN KUMARI</t>
  </si>
  <si>
    <t>KAVITA KUMARI</t>
  </si>
  <si>
    <t>GAJALA KHATUN</t>
  </si>
  <si>
    <t>NIGHAT KHATOON</t>
  </si>
  <si>
    <t>PINKI KUMARI</t>
  </si>
  <si>
    <t>CHUNNI KUMARI</t>
  </si>
  <si>
    <t>POONAM DEVI</t>
  </si>
  <si>
    <t>PRITI KUMARI</t>
  </si>
  <si>
    <t>RENU KUMARI</t>
  </si>
  <si>
    <t>RUPA DEVI</t>
  </si>
  <si>
    <t>MAMTA KUMARI</t>
  </si>
  <si>
    <t>LALSA KUMARI</t>
  </si>
  <si>
    <t>NIRMA KUMARI</t>
  </si>
  <si>
    <t>SHANTI DEVI</t>
  </si>
  <si>
    <t>DURGAWATI DEVI</t>
  </si>
  <si>
    <t>SANJU DEVI</t>
  </si>
  <si>
    <t>BABITA KUMARI</t>
  </si>
  <si>
    <t>REKHA KUMARI</t>
  </si>
  <si>
    <t>MUNNI DEVI</t>
  </si>
  <si>
    <t>Age in Years Months &amp; Days
as on 31-03-2026</t>
  </si>
  <si>
    <t>Eligible/ Ineligible</t>
  </si>
  <si>
    <t>RAGNI KUMARI</t>
  </si>
  <si>
    <t>AMAN KJUMAR</t>
  </si>
  <si>
    <t>AMAN VERMA</t>
  </si>
  <si>
    <t>ROHIT RAJ</t>
  </si>
  <si>
    <t>PRINCE KUMAR</t>
  </si>
  <si>
    <t>ANSHUL KUMAR</t>
  </si>
  <si>
    <t>KARTHIK VERMA</t>
  </si>
  <si>
    <t>RISHU RAJ</t>
  </si>
  <si>
    <t>SHUSHIL KUMAR</t>
  </si>
  <si>
    <t>SADYAN KHAN</t>
  </si>
  <si>
    <t>MD TAIMUR KHAN</t>
  </si>
  <si>
    <t>PRACHI RAJ</t>
  </si>
  <si>
    <t>ARTHIK KUMAR PATEL</t>
  </si>
  <si>
    <t>ANUSHKA KUMARI</t>
  </si>
  <si>
    <t>ANSHIKA RAJ</t>
  </si>
  <si>
    <t>AMARASEN KUMAR</t>
  </si>
  <si>
    <t>ARYAN KAUSIK</t>
  </si>
  <si>
    <t>ANMOL KUMAR</t>
  </si>
  <si>
    <t>SRISTI KUMARI</t>
  </si>
  <si>
    <t>SHIVAM KUMAR</t>
  </si>
  <si>
    <t>SUPRIYA KUMARI</t>
  </si>
  <si>
    <t>DIBYANSHU KUMAR</t>
  </si>
  <si>
    <t>VIKASH KUMAR</t>
  </si>
  <si>
    <t>SHASHI KUMAR</t>
  </si>
  <si>
    <t>RAVINDRA KUMAR</t>
  </si>
  <si>
    <t>DINANATH RAM</t>
  </si>
  <si>
    <t>PURUSOTTAM KUMAR</t>
  </si>
  <si>
    <t>VIDYA BHUSHAN KUMAR VERMA</t>
  </si>
  <si>
    <t>RAUSHAN KUMAR</t>
  </si>
  <si>
    <t>MD ASGAR KHAN</t>
  </si>
  <si>
    <t>ASARAF KHAN</t>
  </si>
  <si>
    <t>ASHWINI KUMAR SUKRANT</t>
  </si>
  <si>
    <t>MUNNA KUMAR</t>
  </si>
  <si>
    <t>AJEET KUMAR</t>
  </si>
  <si>
    <t>RAJESH KUMAR</t>
  </si>
  <si>
    <t>ADITYA PASWAN</t>
  </si>
  <si>
    <t>SUDARSHAN MALAKAR</t>
  </si>
  <si>
    <t>PRADEEP KUMAR</t>
  </si>
  <si>
    <t>CHANDRASHEKHAR PASWAN</t>
  </si>
  <si>
    <t>BISHUN BIHARI</t>
  </si>
  <si>
    <t>CHITRANJAN KUMAR</t>
  </si>
  <si>
    <t>PANKAJ KUMAR</t>
  </si>
  <si>
    <t>ARAVIND KUMAR</t>
  </si>
  <si>
    <t>SINDHU KUMARI</t>
  </si>
  <si>
    <t>PRIYA BHARTI</t>
  </si>
  <si>
    <t>BELWANTI KUMARI</t>
  </si>
  <si>
    <t>BINTI KUMARI</t>
  </si>
  <si>
    <t>RUKHSANA KHATOON</t>
  </si>
  <si>
    <t>AFSANA KHATOON</t>
  </si>
  <si>
    <t>KANCHAN KUMARI</t>
  </si>
  <si>
    <t>SANGITA DEVI</t>
  </si>
  <si>
    <t>MAYA KUMARI</t>
  </si>
  <si>
    <t>ARATI KUMARI</t>
  </si>
  <si>
    <t>INDU DEVI</t>
  </si>
  <si>
    <t>PHULWANTI DEVI</t>
  </si>
  <si>
    <t>SANDHYA KUMARI</t>
  </si>
  <si>
    <t>DHARAMSHILA KUMARI</t>
  </si>
  <si>
    <t>ANIBHA KUMARI</t>
  </si>
  <si>
    <t>SITA KUMARI</t>
  </si>
  <si>
    <t>ANJU DEVI</t>
  </si>
  <si>
    <t>SHILA 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</si>
</sst>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3100-2305-4C20-B1EA-0DFF940C29EB}">
  <sheetPr codeName="Sheet1">
    <tabColor rgb="FFFFFF00"/>
  </sheetPr>
  <dimension ref="A1:O121"/>
  <sheetViews>
    <sheetView tabSelected="1" topLeftCell="F1" workbookViewId="0">
      <selection activeCell="N13" sqref="N13"/>
    </sheetView>
  </sheetViews>
  <sheetFormatPr defaultRowHeight="15" x14ac:dyDescent="0.25"/>
  <cols>
    <col min="1" max="1" width="6.85546875" style="2" bestFit="1" customWidth="1"/>
    <col min="2" max="2" width="17.85546875" style="2" bestFit="1" customWidth="1"/>
    <col min="3" max="3" width="20.42578125" style="2" bestFit="1" customWidth="1"/>
    <col min="4" max="4" width="7.5703125" style="6" bestFit="1" customWidth="1"/>
    <col min="5" max="5" width="30.140625" style="2" bestFit="1" customWidth="1"/>
    <col min="6" max="6" width="22" style="2" bestFit="1" customWidth="1"/>
    <col min="7" max="7" width="12.140625" style="2" bestFit="1" customWidth="1"/>
    <col min="8" max="8" width="25.85546875" style="2" bestFit="1" customWidth="1"/>
    <col min="9" max="9" width="11.140625" style="2" customWidth="1"/>
    <col min="10" max="10" width="14.140625" style="2" bestFit="1" customWidth="1"/>
    <col min="11" max="11" width="14.28515625" style="2" bestFit="1" customWidth="1"/>
    <col min="12" max="12" width="10.42578125" style="2" customWidth="1"/>
    <col min="13" max="13" width="14.7109375" style="2" customWidth="1"/>
    <col min="14" max="14" width="17.42578125" style="2" bestFit="1" customWidth="1"/>
    <col min="15" max="15" width="13.42578125" style="2" bestFit="1" customWidth="1"/>
    <col min="16" max="16384" width="9.140625" style="2"/>
  </cols>
  <sheetData>
    <row r="1" spans="1:15" ht="28.9" customHeight="1" x14ac:dyDescent="0.2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9" t="s">
        <v>224</v>
      </c>
      <c r="I1" s="9" t="s">
        <v>225</v>
      </c>
      <c r="J1" s="1" t="s">
        <v>7</v>
      </c>
      <c r="K1" s="1" t="s">
        <v>8</v>
      </c>
      <c r="L1" s="3" t="s">
        <v>9</v>
      </c>
      <c r="M1" s="3" t="s">
        <v>10</v>
      </c>
      <c r="N1" s="1"/>
      <c r="O1" s="4" t="s">
        <v>11</v>
      </c>
    </row>
    <row r="2" spans="1:15" x14ac:dyDescent="0.25">
      <c r="A2" s="2">
        <v>1</v>
      </c>
      <c r="B2" s="2" t="s">
        <v>12</v>
      </c>
      <c r="C2" s="2" t="s">
        <v>132</v>
      </c>
      <c r="D2" s="6" t="s">
        <v>162</v>
      </c>
      <c r="E2" s="2" t="s">
        <v>164</v>
      </c>
      <c r="F2" s="2" t="s">
        <v>196</v>
      </c>
      <c r="G2" s="7">
        <v>43564</v>
      </c>
      <c r="H2" s="8" t="str">
        <f>IF(ISBLANK(G2),"",DATEDIF(G2,DATE(2026,3,31),"Y")&amp;" Years "&amp;DATEDIF(G2,DATE(2026,3,31),"YM")&amp;" Months "&amp;DATEDIF(G2,DATE(2026,3,31),"MD")&amp;" Days")</f>
        <v>6 Years 11 Months 22 Days</v>
      </c>
      <c r="I2" s="8" t="str">
        <f>IF(ISBLANK(G2),"",IF(AND(DATEDIF(G2,DATE(2026,3,31),"Y")&gt;=6,DATEDIF(G2,DATE(2026,3,31),"Y")&lt;8),"Eligible","Ineligible"))</f>
        <v>Eligible</v>
      </c>
      <c r="O2" s="2">
        <v>9876543210</v>
      </c>
    </row>
    <row r="3" spans="1:15" x14ac:dyDescent="0.25">
      <c r="A3" s="2">
        <v>2</v>
      </c>
      <c r="B3" s="2" t="s">
        <v>13</v>
      </c>
      <c r="C3" s="2" t="s">
        <v>133</v>
      </c>
      <c r="D3" s="6" t="s">
        <v>163</v>
      </c>
      <c r="E3" s="2" t="s">
        <v>165</v>
      </c>
      <c r="F3" s="2" t="s">
        <v>197</v>
      </c>
      <c r="G3" s="7">
        <v>43914</v>
      </c>
      <c r="H3" s="8" t="str">
        <f t="shared" ref="H3:H66" si="0">IF(ISBLANK(G3),"",DATEDIF(G3,DATE(2026,3,31),"Y")&amp;" Years "&amp;DATEDIF(G3,DATE(2026,3,31),"YM")&amp;" Months "&amp;DATEDIF(G3,DATE(2026,3,31),"MD")&amp;" Days")</f>
        <v>6 Years 0 Months 7 Days</v>
      </c>
      <c r="I3" s="8" t="str">
        <f t="shared" ref="I3:I66" si="1">IF(ISBLANK(G3),"",IF(AND(DATEDIF(G3,DATE(2026,3,31),"Y")&gt;=6,DATEDIF(G3,DATE(2026,3,31),"Y")&lt;8),"Eligible","Ineligible"))</f>
        <v>Eligible</v>
      </c>
      <c r="O3" s="2">
        <v>9876543210</v>
      </c>
    </row>
    <row r="4" spans="1:15" x14ac:dyDescent="0.25">
      <c r="A4" s="2">
        <v>3</v>
      </c>
      <c r="B4" s="2" t="s">
        <v>14</v>
      </c>
      <c r="C4" s="2" t="s">
        <v>134</v>
      </c>
      <c r="D4" s="6" t="s">
        <v>163</v>
      </c>
      <c r="E4" s="2" t="s">
        <v>166</v>
      </c>
      <c r="F4" s="2" t="s">
        <v>198</v>
      </c>
      <c r="G4" s="7"/>
      <c r="H4" s="8" t="str">
        <f t="shared" si="0"/>
        <v/>
      </c>
      <c r="I4" s="8" t="str">
        <f t="shared" si="1"/>
        <v/>
      </c>
      <c r="O4" s="2">
        <v>9876543210</v>
      </c>
    </row>
    <row r="5" spans="1:15" x14ac:dyDescent="0.25">
      <c r="A5" s="2">
        <v>4</v>
      </c>
      <c r="B5" s="2" t="s">
        <v>15</v>
      </c>
      <c r="C5" s="2" t="s">
        <v>135</v>
      </c>
      <c r="D5" s="6" t="s">
        <v>163</v>
      </c>
      <c r="E5" s="2" t="s">
        <v>167</v>
      </c>
      <c r="F5" s="2" t="s">
        <v>199</v>
      </c>
      <c r="G5" s="7"/>
      <c r="H5" s="8" t="str">
        <f t="shared" si="0"/>
        <v/>
      </c>
      <c r="I5" s="8" t="str">
        <f t="shared" si="1"/>
        <v/>
      </c>
      <c r="O5" s="2">
        <v>9876543210</v>
      </c>
    </row>
    <row r="6" spans="1:15" x14ac:dyDescent="0.25">
      <c r="A6" s="2">
        <v>5</v>
      </c>
      <c r="B6" s="2" t="s">
        <v>16</v>
      </c>
      <c r="C6" s="2" t="s">
        <v>136</v>
      </c>
      <c r="D6" s="6" t="s">
        <v>162</v>
      </c>
      <c r="E6" s="2" t="s">
        <v>168</v>
      </c>
      <c r="F6" s="2" t="s">
        <v>200</v>
      </c>
      <c r="G6" s="7">
        <v>43905</v>
      </c>
      <c r="H6" s="8" t="str">
        <f t="shared" si="0"/>
        <v>6 Years 0 Months 16 Days</v>
      </c>
      <c r="I6" s="8" t="str">
        <f t="shared" si="1"/>
        <v>Eligible</v>
      </c>
      <c r="O6" s="2">
        <v>9876543210</v>
      </c>
    </row>
    <row r="7" spans="1:15" x14ac:dyDescent="0.25">
      <c r="A7" s="2">
        <v>6</v>
      </c>
      <c r="B7" s="2" t="s">
        <v>17</v>
      </c>
      <c r="C7" s="2" t="s">
        <v>137</v>
      </c>
      <c r="D7" s="6" t="s">
        <v>163</v>
      </c>
      <c r="E7" s="2" t="s">
        <v>169</v>
      </c>
      <c r="F7" s="2" t="s">
        <v>201</v>
      </c>
      <c r="G7" s="7">
        <v>43386</v>
      </c>
      <c r="H7" s="8" t="str">
        <f t="shared" si="0"/>
        <v>7 Years 5 Months 18 Days</v>
      </c>
      <c r="I7" s="8" t="str">
        <f t="shared" si="1"/>
        <v>Eligible</v>
      </c>
      <c r="O7" s="2">
        <v>9876543210</v>
      </c>
    </row>
    <row r="8" spans="1:15" x14ac:dyDescent="0.25">
      <c r="A8" s="2">
        <v>7</v>
      </c>
      <c r="B8" s="2" t="s">
        <v>18</v>
      </c>
      <c r="C8" s="2" t="s">
        <v>138</v>
      </c>
      <c r="D8" s="6" t="s">
        <v>163</v>
      </c>
      <c r="E8" s="2" t="s">
        <v>170</v>
      </c>
      <c r="F8" s="2" t="s">
        <v>202</v>
      </c>
      <c r="G8" s="7">
        <v>43757</v>
      </c>
      <c r="H8" s="8" t="str">
        <f t="shared" si="0"/>
        <v>6 Years 5 Months 12 Days</v>
      </c>
      <c r="I8" s="8" t="str">
        <f t="shared" si="1"/>
        <v>Eligible</v>
      </c>
      <c r="O8" s="2">
        <v>9876543210</v>
      </c>
    </row>
    <row r="9" spans="1:15" x14ac:dyDescent="0.25">
      <c r="A9" s="2">
        <v>8</v>
      </c>
      <c r="B9" s="2" t="s">
        <v>19</v>
      </c>
      <c r="C9" s="2" t="s">
        <v>139</v>
      </c>
      <c r="D9" s="6" t="s">
        <v>163</v>
      </c>
      <c r="E9" s="2" t="s">
        <v>171</v>
      </c>
      <c r="F9" s="2" t="s">
        <v>203</v>
      </c>
      <c r="G9" s="7">
        <v>43646</v>
      </c>
      <c r="H9" s="8" t="str">
        <f t="shared" si="0"/>
        <v>6 Years 9 Months 1 Days</v>
      </c>
      <c r="I9" s="8" t="str">
        <f t="shared" si="1"/>
        <v>Eligible</v>
      </c>
      <c r="O9" s="2">
        <v>9876543210</v>
      </c>
    </row>
    <row r="10" spans="1:15" x14ac:dyDescent="0.25">
      <c r="A10" s="2">
        <v>9</v>
      </c>
      <c r="B10" s="2" t="s">
        <v>20</v>
      </c>
      <c r="C10" s="2" t="s">
        <v>140</v>
      </c>
      <c r="D10" s="6" t="s">
        <v>163</v>
      </c>
      <c r="E10" s="2" t="s">
        <v>172</v>
      </c>
      <c r="F10" s="2" t="s">
        <v>204</v>
      </c>
      <c r="G10" s="7">
        <v>43788</v>
      </c>
      <c r="H10" s="8" t="str">
        <f t="shared" si="0"/>
        <v>6 Years 4 Months 12 Days</v>
      </c>
      <c r="I10" s="8" t="str">
        <f t="shared" si="1"/>
        <v>Eligible</v>
      </c>
      <c r="O10" s="2">
        <v>9876543210</v>
      </c>
    </row>
    <row r="11" spans="1:15" x14ac:dyDescent="0.25">
      <c r="A11" s="2">
        <v>10</v>
      </c>
      <c r="B11" s="2" t="s">
        <v>21</v>
      </c>
      <c r="C11" s="2" t="s">
        <v>141</v>
      </c>
      <c r="D11" s="6" t="s">
        <v>162</v>
      </c>
      <c r="E11" s="2" t="s">
        <v>173</v>
      </c>
      <c r="F11" s="2" t="s">
        <v>205</v>
      </c>
      <c r="G11" s="7">
        <v>43782</v>
      </c>
      <c r="H11" s="8" t="str">
        <f t="shared" si="0"/>
        <v>6 Years 4 Months 18 Days</v>
      </c>
      <c r="I11" s="8" t="str">
        <f t="shared" si="1"/>
        <v>Eligible</v>
      </c>
      <c r="O11" s="2">
        <v>9876543210</v>
      </c>
    </row>
    <row r="12" spans="1:15" x14ac:dyDescent="0.25">
      <c r="A12" s="2">
        <v>11</v>
      </c>
      <c r="B12" s="2" t="s">
        <v>22</v>
      </c>
      <c r="C12" s="2" t="s">
        <v>142</v>
      </c>
      <c r="D12" s="6" t="s">
        <v>162</v>
      </c>
      <c r="E12" s="2" t="s">
        <v>174</v>
      </c>
      <c r="F12" s="2" t="s">
        <v>206</v>
      </c>
      <c r="G12" s="7">
        <v>43915</v>
      </c>
      <c r="H12" s="8" t="str">
        <f t="shared" si="0"/>
        <v>6 Years 0 Months 6 Days</v>
      </c>
      <c r="I12" s="8" t="str">
        <f t="shared" si="1"/>
        <v>Eligible</v>
      </c>
      <c r="O12" s="2">
        <v>9876543210</v>
      </c>
    </row>
    <row r="13" spans="1:15" x14ac:dyDescent="0.25">
      <c r="A13" s="2">
        <v>12</v>
      </c>
      <c r="B13" s="2" t="s">
        <v>23</v>
      </c>
      <c r="C13" s="2" t="s">
        <v>143</v>
      </c>
      <c r="D13" s="6" t="s">
        <v>163</v>
      </c>
      <c r="E13" s="2" t="s">
        <v>175</v>
      </c>
      <c r="F13" s="2" t="s">
        <v>207</v>
      </c>
      <c r="G13" s="7">
        <v>43610</v>
      </c>
      <c r="H13" s="8" t="str">
        <f t="shared" si="0"/>
        <v>6 Years 10 Months 6 Days</v>
      </c>
      <c r="I13" s="8" t="str">
        <f t="shared" si="1"/>
        <v>Eligible</v>
      </c>
      <c r="O13" s="2">
        <v>9876543210</v>
      </c>
    </row>
    <row r="14" spans="1:15" x14ac:dyDescent="0.25">
      <c r="A14" s="2">
        <v>13</v>
      </c>
      <c r="B14" s="2" t="s">
        <v>24</v>
      </c>
      <c r="C14" s="2" t="s">
        <v>144</v>
      </c>
      <c r="D14" s="6" t="s">
        <v>163</v>
      </c>
      <c r="E14" s="2" t="s">
        <v>176</v>
      </c>
      <c r="F14" s="2" t="s">
        <v>208</v>
      </c>
      <c r="G14" s="7">
        <v>43711</v>
      </c>
      <c r="H14" s="8" t="str">
        <f t="shared" si="0"/>
        <v>6 Years 6 Months 28 Days</v>
      </c>
      <c r="I14" s="8" t="str">
        <f t="shared" si="1"/>
        <v>Eligible</v>
      </c>
      <c r="O14" s="2">
        <v>9876543210</v>
      </c>
    </row>
    <row r="15" spans="1:15" x14ac:dyDescent="0.25">
      <c r="A15" s="2">
        <v>14</v>
      </c>
      <c r="B15" s="2" t="s">
        <v>25</v>
      </c>
      <c r="C15" s="2" t="s">
        <v>145</v>
      </c>
      <c r="D15" s="6" t="s">
        <v>163</v>
      </c>
      <c r="E15" s="2" t="s">
        <v>177</v>
      </c>
      <c r="F15" s="2" t="s">
        <v>209</v>
      </c>
      <c r="G15" s="7">
        <v>43706</v>
      </c>
      <c r="H15" s="8" t="str">
        <f t="shared" si="0"/>
        <v>6 Years 7 Months 2 Days</v>
      </c>
      <c r="I15" s="8" t="str">
        <f t="shared" si="1"/>
        <v>Eligible</v>
      </c>
      <c r="O15" s="2">
        <v>9876543210</v>
      </c>
    </row>
    <row r="16" spans="1:15" x14ac:dyDescent="0.25">
      <c r="A16" s="2">
        <v>15</v>
      </c>
      <c r="B16" s="2" t="s">
        <v>26</v>
      </c>
      <c r="C16" s="2" t="s">
        <v>146</v>
      </c>
      <c r="D16" s="6" t="s">
        <v>163</v>
      </c>
      <c r="E16" s="2" t="s">
        <v>178</v>
      </c>
      <c r="F16" s="2" t="s">
        <v>203</v>
      </c>
      <c r="G16" s="7">
        <v>43898</v>
      </c>
      <c r="H16" s="8" t="str">
        <f t="shared" si="0"/>
        <v>6 Years 0 Months 23 Days</v>
      </c>
      <c r="I16" s="8" t="str">
        <f t="shared" si="1"/>
        <v>Eligible</v>
      </c>
      <c r="O16" s="2">
        <v>9876543210</v>
      </c>
    </row>
    <row r="17" spans="1:15" x14ac:dyDescent="0.25">
      <c r="A17" s="2">
        <v>16</v>
      </c>
      <c r="B17" s="2" t="s">
        <v>27</v>
      </c>
      <c r="C17" s="2" t="s">
        <v>145</v>
      </c>
      <c r="D17" s="6" t="s">
        <v>163</v>
      </c>
      <c r="E17" s="2" t="s">
        <v>179</v>
      </c>
      <c r="F17" s="2" t="s">
        <v>210</v>
      </c>
      <c r="G17" s="7">
        <v>43876</v>
      </c>
      <c r="H17" s="8" t="str">
        <f t="shared" si="0"/>
        <v>6 Years 1 Months 16 Days</v>
      </c>
      <c r="I17" s="8" t="str">
        <f t="shared" si="1"/>
        <v>Eligible</v>
      </c>
      <c r="O17" s="2">
        <v>9876543210</v>
      </c>
    </row>
    <row r="18" spans="1:15" x14ac:dyDescent="0.25">
      <c r="A18" s="2">
        <v>17</v>
      </c>
      <c r="B18" s="2" t="s">
        <v>28</v>
      </c>
      <c r="C18" s="2" t="s">
        <v>147</v>
      </c>
      <c r="D18" s="6" t="s">
        <v>162</v>
      </c>
      <c r="E18" s="2" t="s">
        <v>180</v>
      </c>
      <c r="F18" s="2" t="s">
        <v>132</v>
      </c>
      <c r="G18" s="7">
        <v>43703</v>
      </c>
      <c r="H18" s="8" t="str">
        <f t="shared" si="0"/>
        <v>6 Years 7 Months 5 Days</v>
      </c>
      <c r="I18" s="8" t="str">
        <f t="shared" si="1"/>
        <v>Eligible</v>
      </c>
      <c r="O18" s="2">
        <v>9876543210</v>
      </c>
    </row>
    <row r="19" spans="1:15" x14ac:dyDescent="0.25">
      <c r="A19" s="2">
        <v>18</v>
      </c>
      <c r="B19" s="2" t="s">
        <v>29</v>
      </c>
      <c r="C19" s="2" t="s">
        <v>148</v>
      </c>
      <c r="D19" s="6" t="s">
        <v>163</v>
      </c>
      <c r="E19" s="2" t="s">
        <v>181</v>
      </c>
      <c r="F19" s="2" t="s">
        <v>211</v>
      </c>
      <c r="G19" s="7">
        <v>43603</v>
      </c>
      <c r="H19" s="8" t="str">
        <f t="shared" si="0"/>
        <v>6 Years 10 Months 13 Days</v>
      </c>
      <c r="I19" s="8" t="str">
        <f t="shared" si="1"/>
        <v>Eligible</v>
      </c>
      <c r="O19" s="2">
        <v>9876543210</v>
      </c>
    </row>
    <row r="20" spans="1:15" x14ac:dyDescent="0.25">
      <c r="A20" s="2">
        <v>19</v>
      </c>
      <c r="B20" s="2" t="s">
        <v>30</v>
      </c>
      <c r="C20" s="2" t="s">
        <v>149</v>
      </c>
      <c r="D20" s="6" t="s">
        <v>163</v>
      </c>
      <c r="E20" s="2" t="s">
        <v>182</v>
      </c>
      <c r="F20" s="2" t="s">
        <v>212</v>
      </c>
      <c r="G20" s="7">
        <v>43449</v>
      </c>
      <c r="H20" s="8" t="str">
        <f t="shared" si="0"/>
        <v>7 Years 3 Months 16 Days</v>
      </c>
      <c r="I20" s="8" t="str">
        <f t="shared" si="1"/>
        <v>Eligible</v>
      </c>
      <c r="O20" s="2">
        <v>9876543210</v>
      </c>
    </row>
    <row r="21" spans="1:15" x14ac:dyDescent="0.25">
      <c r="A21" s="2">
        <v>20</v>
      </c>
      <c r="B21" s="2" t="s">
        <v>31</v>
      </c>
      <c r="C21" s="2" t="s">
        <v>150</v>
      </c>
      <c r="D21" s="6" t="s">
        <v>163</v>
      </c>
      <c r="E21" s="2" t="s">
        <v>183</v>
      </c>
      <c r="F21" s="2" t="s">
        <v>213</v>
      </c>
      <c r="G21" s="7">
        <v>43233</v>
      </c>
      <c r="H21" s="8" t="str">
        <f t="shared" si="0"/>
        <v>7 Years 10 Months 18 Days</v>
      </c>
      <c r="I21" s="8" t="str">
        <f t="shared" si="1"/>
        <v>Eligible</v>
      </c>
      <c r="O21" s="2">
        <v>9876543210</v>
      </c>
    </row>
    <row r="22" spans="1:15" x14ac:dyDescent="0.25">
      <c r="A22" s="2">
        <v>21</v>
      </c>
      <c r="B22" s="2" t="s">
        <v>32</v>
      </c>
      <c r="C22" s="2" t="s">
        <v>151</v>
      </c>
      <c r="D22" s="6" t="s">
        <v>163</v>
      </c>
      <c r="E22" s="2" t="s">
        <v>184</v>
      </c>
      <c r="F22" s="2" t="s">
        <v>214</v>
      </c>
      <c r="G22" s="7">
        <v>43781</v>
      </c>
      <c r="H22" s="8" t="str">
        <f t="shared" si="0"/>
        <v>6 Years 4 Months 19 Days</v>
      </c>
      <c r="I22" s="8" t="str">
        <f t="shared" si="1"/>
        <v>Eligible</v>
      </c>
      <c r="O22" s="2">
        <v>9876543210</v>
      </c>
    </row>
    <row r="23" spans="1:15" x14ac:dyDescent="0.25">
      <c r="A23" s="2">
        <v>22</v>
      </c>
      <c r="B23" s="2" t="s">
        <v>33</v>
      </c>
      <c r="C23" s="2" t="s">
        <v>152</v>
      </c>
      <c r="D23" s="6" t="s">
        <v>162</v>
      </c>
      <c r="E23" s="2" t="s">
        <v>174</v>
      </c>
      <c r="F23" s="2" t="s">
        <v>215</v>
      </c>
      <c r="G23" s="7">
        <v>43620</v>
      </c>
      <c r="H23" s="8" t="str">
        <f t="shared" si="0"/>
        <v>6 Years 9 Months 27 Days</v>
      </c>
      <c r="I23" s="8" t="str">
        <f t="shared" si="1"/>
        <v>Eligible</v>
      </c>
      <c r="O23" s="2">
        <v>9876543210</v>
      </c>
    </row>
    <row r="24" spans="1:15" x14ac:dyDescent="0.25">
      <c r="A24" s="2">
        <v>23</v>
      </c>
      <c r="B24" s="2" t="s">
        <v>34</v>
      </c>
      <c r="C24" s="2" t="s">
        <v>153</v>
      </c>
      <c r="D24" s="6" t="s">
        <v>162</v>
      </c>
      <c r="E24" s="2" t="s">
        <v>185</v>
      </c>
      <c r="F24" s="2" t="s">
        <v>216</v>
      </c>
      <c r="G24" s="7">
        <v>43737</v>
      </c>
      <c r="H24" s="8" t="str">
        <f t="shared" si="0"/>
        <v>6 Years 6 Months 2 Days</v>
      </c>
      <c r="I24" s="8" t="str">
        <f t="shared" si="1"/>
        <v>Eligible</v>
      </c>
      <c r="O24" s="2">
        <v>9876543210</v>
      </c>
    </row>
    <row r="25" spans="1:15" x14ac:dyDescent="0.25">
      <c r="A25" s="2">
        <v>24</v>
      </c>
      <c r="B25" s="2" t="s">
        <v>35</v>
      </c>
      <c r="C25" s="2" t="s">
        <v>154</v>
      </c>
      <c r="D25" s="6" t="s">
        <v>163</v>
      </c>
      <c r="E25" s="2" t="s">
        <v>186</v>
      </c>
      <c r="F25" s="2" t="s">
        <v>217</v>
      </c>
      <c r="G25" s="7">
        <v>43562</v>
      </c>
      <c r="H25" s="8" t="str">
        <f t="shared" si="0"/>
        <v>6 Years 11 Months 24 Days</v>
      </c>
      <c r="I25" s="8" t="str">
        <f t="shared" si="1"/>
        <v>Eligible</v>
      </c>
      <c r="O25" s="2">
        <v>9876543210</v>
      </c>
    </row>
    <row r="26" spans="1:15" x14ac:dyDescent="0.25">
      <c r="A26" s="2">
        <v>25</v>
      </c>
      <c r="B26" s="2" t="s">
        <v>36</v>
      </c>
      <c r="C26" s="2" t="s">
        <v>155</v>
      </c>
      <c r="D26" s="6" t="s">
        <v>162</v>
      </c>
      <c r="E26" s="2" t="s">
        <v>187</v>
      </c>
      <c r="F26" s="2" t="s">
        <v>209</v>
      </c>
      <c r="G26" s="7">
        <v>43806</v>
      </c>
      <c r="H26" s="8" t="str">
        <f t="shared" si="0"/>
        <v>6 Years 3 Months 24 Days</v>
      </c>
      <c r="I26" s="8" t="str">
        <f t="shared" si="1"/>
        <v>Eligible</v>
      </c>
      <c r="O26" s="2">
        <v>9876543210</v>
      </c>
    </row>
    <row r="27" spans="1:15" x14ac:dyDescent="0.25">
      <c r="A27" s="2">
        <v>26</v>
      </c>
      <c r="B27" s="2" t="s">
        <v>37</v>
      </c>
      <c r="C27" s="2" t="s">
        <v>156</v>
      </c>
      <c r="D27" s="6" t="s">
        <v>162</v>
      </c>
      <c r="E27" s="2" t="s">
        <v>188</v>
      </c>
      <c r="F27" s="2" t="s">
        <v>218</v>
      </c>
      <c r="G27" s="7">
        <v>43852</v>
      </c>
      <c r="H27" s="8" t="str">
        <f t="shared" si="0"/>
        <v>6 Years 2 Months 9 Days</v>
      </c>
      <c r="I27" s="8" t="str">
        <f t="shared" si="1"/>
        <v>Eligible</v>
      </c>
      <c r="O27" s="2">
        <v>9876543210</v>
      </c>
    </row>
    <row r="28" spans="1:15" x14ac:dyDescent="0.25">
      <c r="A28" s="2">
        <v>27</v>
      </c>
      <c r="B28" s="2" t="s">
        <v>38</v>
      </c>
      <c r="C28" s="2" t="s">
        <v>157</v>
      </c>
      <c r="D28" s="6" t="s">
        <v>162</v>
      </c>
      <c r="E28" s="2" t="s">
        <v>189</v>
      </c>
      <c r="F28" s="2" t="s">
        <v>219</v>
      </c>
      <c r="G28" s="7">
        <v>44166</v>
      </c>
      <c r="H28" s="8" t="str">
        <f t="shared" si="0"/>
        <v>5 Years 3 Months 30 Days</v>
      </c>
      <c r="I28" s="8" t="str">
        <f t="shared" si="1"/>
        <v>Ineligible</v>
      </c>
      <c r="O28" s="2">
        <v>9876543210</v>
      </c>
    </row>
    <row r="29" spans="1:15" x14ac:dyDescent="0.25">
      <c r="A29" s="2">
        <v>28</v>
      </c>
      <c r="B29" s="2" t="s">
        <v>39</v>
      </c>
      <c r="C29" s="2" t="s">
        <v>158</v>
      </c>
      <c r="D29" s="6" t="s">
        <v>163</v>
      </c>
      <c r="E29" s="2" t="s">
        <v>190</v>
      </c>
      <c r="F29" s="2" t="s">
        <v>220</v>
      </c>
      <c r="G29" s="7">
        <v>43852</v>
      </c>
      <c r="H29" s="8" t="str">
        <f t="shared" si="0"/>
        <v>6 Years 2 Months 9 Days</v>
      </c>
      <c r="I29" s="8" t="str">
        <f t="shared" si="1"/>
        <v>Eligible</v>
      </c>
      <c r="O29" s="2">
        <v>9876543210</v>
      </c>
    </row>
    <row r="30" spans="1:15" x14ac:dyDescent="0.25">
      <c r="A30" s="2">
        <v>29</v>
      </c>
      <c r="B30" s="2" t="s">
        <v>40</v>
      </c>
      <c r="C30" s="2" t="s">
        <v>159</v>
      </c>
      <c r="D30" s="6" t="s">
        <v>162</v>
      </c>
      <c r="E30" s="2" t="s">
        <v>191</v>
      </c>
      <c r="F30" s="2" t="s">
        <v>221</v>
      </c>
      <c r="G30" s="7">
        <v>43803</v>
      </c>
      <c r="H30" s="8" t="str">
        <f t="shared" si="0"/>
        <v>6 Years 3 Months 27 Days</v>
      </c>
      <c r="I30" s="8" t="str">
        <f t="shared" si="1"/>
        <v>Eligible</v>
      </c>
      <c r="O30" s="2">
        <v>9876543210</v>
      </c>
    </row>
    <row r="31" spans="1:15" x14ac:dyDescent="0.25">
      <c r="A31" s="2">
        <v>30</v>
      </c>
      <c r="B31" s="2" t="s">
        <v>41</v>
      </c>
      <c r="C31" s="2" t="s">
        <v>145</v>
      </c>
      <c r="D31" s="6" t="s">
        <v>163</v>
      </c>
      <c r="E31" s="2" t="s">
        <v>192</v>
      </c>
      <c r="F31" s="2" t="s">
        <v>215</v>
      </c>
      <c r="G31" s="7">
        <v>43916</v>
      </c>
      <c r="H31" s="8" t="str">
        <f t="shared" si="0"/>
        <v>6 Years 0 Months 5 Days</v>
      </c>
      <c r="I31" s="8" t="str">
        <f t="shared" si="1"/>
        <v>Eligible</v>
      </c>
      <c r="O31" s="2">
        <v>9876543210</v>
      </c>
    </row>
    <row r="32" spans="1:15" x14ac:dyDescent="0.25">
      <c r="A32" s="2">
        <v>31</v>
      </c>
      <c r="B32" s="2" t="s">
        <v>42</v>
      </c>
      <c r="C32" s="2" t="s">
        <v>160</v>
      </c>
      <c r="D32" s="6" t="s">
        <v>162</v>
      </c>
      <c r="E32" s="2" t="s">
        <v>193</v>
      </c>
      <c r="F32" s="2" t="s">
        <v>222</v>
      </c>
      <c r="G32" s="7">
        <v>43564</v>
      </c>
      <c r="H32" s="8" t="str">
        <f t="shared" si="0"/>
        <v>6 Years 11 Months 22 Days</v>
      </c>
      <c r="I32" s="8" t="str">
        <f t="shared" si="1"/>
        <v>Eligible</v>
      </c>
      <c r="O32" s="2">
        <v>9876543210</v>
      </c>
    </row>
    <row r="33" spans="1:15" x14ac:dyDescent="0.25">
      <c r="A33" s="2">
        <v>32</v>
      </c>
      <c r="B33" s="2" t="s">
        <v>43</v>
      </c>
      <c r="C33" s="2" t="s">
        <v>161</v>
      </c>
      <c r="D33" s="6" t="s">
        <v>162</v>
      </c>
      <c r="E33" s="2" t="s">
        <v>194</v>
      </c>
      <c r="F33" s="2" t="s">
        <v>223</v>
      </c>
      <c r="G33" s="7">
        <v>43484</v>
      </c>
      <c r="H33" s="8" t="str">
        <f t="shared" si="0"/>
        <v>7 Years 2 Months 12 Days</v>
      </c>
      <c r="I33" s="8" t="str">
        <f t="shared" si="1"/>
        <v>Eligible</v>
      </c>
      <c r="O33" s="2">
        <v>9876543210</v>
      </c>
    </row>
    <row r="34" spans="1:15" x14ac:dyDescent="0.25">
      <c r="A34" s="2">
        <v>33</v>
      </c>
      <c r="B34" s="2" t="s">
        <v>44</v>
      </c>
      <c r="C34" s="2" t="s">
        <v>138</v>
      </c>
      <c r="D34" s="6" t="s">
        <v>163</v>
      </c>
      <c r="E34" s="2" t="s">
        <v>195</v>
      </c>
      <c r="F34" s="2" t="s">
        <v>205</v>
      </c>
      <c r="G34" s="7">
        <v>43841</v>
      </c>
      <c r="H34" s="8" t="str">
        <f t="shared" si="0"/>
        <v>6 Years 2 Months 20 Days</v>
      </c>
      <c r="I34" s="8" t="str">
        <f t="shared" si="1"/>
        <v>Eligible</v>
      </c>
      <c r="O34" s="2">
        <v>9876543210</v>
      </c>
    </row>
    <row r="35" spans="1:15" x14ac:dyDescent="0.25">
      <c r="A35" s="2">
        <v>34</v>
      </c>
      <c r="B35" s="2" t="s">
        <v>45</v>
      </c>
      <c r="C35" s="2" t="s">
        <v>226</v>
      </c>
      <c r="D35" s="6" t="s">
        <v>162</v>
      </c>
      <c r="E35" s="2" t="s">
        <v>248</v>
      </c>
      <c r="F35" s="2" t="s">
        <v>269</v>
      </c>
      <c r="G35" s="7">
        <v>43831</v>
      </c>
      <c r="H35" s="8" t="str">
        <f t="shared" si="0"/>
        <v>6 Years 2 Months 30 Days</v>
      </c>
      <c r="I35" s="8" t="str">
        <f t="shared" si="1"/>
        <v>Eligible</v>
      </c>
      <c r="O35" s="2">
        <v>9876543210</v>
      </c>
    </row>
    <row r="36" spans="1:15" x14ac:dyDescent="0.25">
      <c r="A36" s="2">
        <v>35</v>
      </c>
      <c r="B36" s="2" t="s">
        <v>46</v>
      </c>
      <c r="C36" s="2" t="s">
        <v>227</v>
      </c>
      <c r="D36" s="6" t="s">
        <v>163</v>
      </c>
      <c r="E36" s="2" t="s">
        <v>248</v>
      </c>
      <c r="F36" s="2" t="s">
        <v>269</v>
      </c>
      <c r="G36" s="7">
        <v>43831</v>
      </c>
      <c r="H36" s="8" t="str">
        <f t="shared" si="0"/>
        <v>6 Years 2 Months 30 Days</v>
      </c>
      <c r="I36" s="8" t="str">
        <f t="shared" si="1"/>
        <v>Eligible</v>
      </c>
      <c r="O36" s="2">
        <v>9876543210</v>
      </c>
    </row>
    <row r="37" spans="1:15" x14ac:dyDescent="0.25">
      <c r="A37" s="2">
        <v>36</v>
      </c>
      <c r="B37" s="2" t="s">
        <v>47</v>
      </c>
      <c r="C37" s="2" t="s">
        <v>228</v>
      </c>
      <c r="D37" s="6" t="s">
        <v>163</v>
      </c>
      <c r="E37" s="2" t="s">
        <v>249</v>
      </c>
      <c r="F37" s="2" t="s">
        <v>157</v>
      </c>
      <c r="G37" s="7">
        <v>43556</v>
      </c>
      <c r="H37" s="8" t="str">
        <f t="shared" si="0"/>
        <v>6 Years 11 Months 30 Days</v>
      </c>
      <c r="I37" s="8" t="str">
        <f t="shared" si="1"/>
        <v>Eligible</v>
      </c>
      <c r="O37" s="2">
        <v>9876543210</v>
      </c>
    </row>
    <row r="38" spans="1:15" x14ac:dyDescent="0.25">
      <c r="A38" s="2">
        <v>37</v>
      </c>
      <c r="B38" s="2" t="s">
        <v>48</v>
      </c>
      <c r="C38" s="2" t="s">
        <v>229</v>
      </c>
      <c r="D38" s="6" t="s">
        <v>163</v>
      </c>
      <c r="E38" s="2" t="s">
        <v>250</v>
      </c>
      <c r="F38" s="2" t="s">
        <v>209</v>
      </c>
      <c r="G38" s="7">
        <v>43687</v>
      </c>
      <c r="H38" s="8" t="str">
        <f t="shared" si="0"/>
        <v>6 Years 7 Months 21 Days</v>
      </c>
      <c r="I38" s="8" t="str">
        <f t="shared" si="1"/>
        <v>Eligible</v>
      </c>
      <c r="O38" s="2">
        <v>9876543210</v>
      </c>
    </row>
    <row r="39" spans="1:15" x14ac:dyDescent="0.25">
      <c r="A39" s="2">
        <v>38</v>
      </c>
      <c r="B39" s="2" t="s">
        <v>49</v>
      </c>
      <c r="C39" s="2" t="s">
        <v>230</v>
      </c>
      <c r="D39" s="6" t="s">
        <v>163</v>
      </c>
      <c r="E39" s="2" t="s">
        <v>251</v>
      </c>
      <c r="F39" s="2" t="s">
        <v>215</v>
      </c>
      <c r="G39" s="7">
        <v>43880</v>
      </c>
      <c r="H39" s="8" t="str">
        <f t="shared" si="0"/>
        <v>6 Years 1 Months 12 Days</v>
      </c>
      <c r="I39" s="8" t="str">
        <f t="shared" si="1"/>
        <v>Eligible</v>
      </c>
      <c r="O39" s="2">
        <v>9876543210</v>
      </c>
    </row>
    <row r="40" spans="1:15" x14ac:dyDescent="0.25">
      <c r="A40" s="2">
        <v>39</v>
      </c>
      <c r="B40" s="2" t="s">
        <v>50</v>
      </c>
      <c r="C40" s="2" t="s">
        <v>231</v>
      </c>
      <c r="D40" s="6" t="s">
        <v>163</v>
      </c>
      <c r="E40" s="2" t="s">
        <v>252</v>
      </c>
      <c r="F40" s="2" t="s">
        <v>270</v>
      </c>
      <c r="G40" s="7">
        <v>43835</v>
      </c>
      <c r="H40" s="8" t="str">
        <f t="shared" si="0"/>
        <v>6 Years 2 Months 26 Days</v>
      </c>
      <c r="I40" s="8" t="str">
        <f t="shared" si="1"/>
        <v>Eligible</v>
      </c>
      <c r="O40" s="2">
        <v>9876543210</v>
      </c>
    </row>
    <row r="41" spans="1:15" x14ac:dyDescent="0.25">
      <c r="A41" s="2">
        <v>40</v>
      </c>
      <c r="B41" s="2" t="s">
        <v>51</v>
      </c>
      <c r="C41" s="2" t="s">
        <v>232</v>
      </c>
      <c r="D41" s="6" t="s">
        <v>163</v>
      </c>
      <c r="E41" s="2" t="s">
        <v>253</v>
      </c>
      <c r="F41" s="2" t="s">
        <v>271</v>
      </c>
      <c r="G41" s="7">
        <v>43862</v>
      </c>
      <c r="H41" s="8" t="str">
        <f t="shared" si="0"/>
        <v>6 Years 1 Months 30 Days</v>
      </c>
      <c r="I41" s="8" t="str">
        <f t="shared" si="1"/>
        <v>Eligible</v>
      </c>
      <c r="O41" s="2">
        <v>9876543210</v>
      </c>
    </row>
    <row r="42" spans="1:15" x14ac:dyDescent="0.25">
      <c r="A42" s="2">
        <v>41</v>
      </c>
      <c r="B42" s="2" t="s">
        <v>52</v>
      </c>
      <c r="C42" s="2" t="s">
        <v>233</v>
      </c>
      <c r="D42" s="6" t="s">
        <v>163</v>
      </c>
      <c r="E42" s="2" t="s">
        <v>254</v>
      </c>
      <c r="F42" s="2" t="s">
        <v>157</v>
      </c>
      <c r="G42" s="7">
        <v>43590</v>
      </c>
      <c r="H42" s="8" t="str">
        <f t="shared" si="0"/>
        <v>6 Years 10 Months 26 Days</v>
      </c>
      <c r="I42" s="8" t="str">
        <f t="shared" si="1"/>
        <v>Eligible</v>
      </c>
      <c r="O42" s="2">
        <v>9876543210</v>
      </c>
    </row>
    <row r="43" spans="1:15" x14ac:dyDescent="0.25">
      <c r="A43" s="2">
        <v>42</v>
      </c>
      <c r="B43" s="2" t="s">
        <v>53</v>
      </c>
      <c r="C43" s="2" t="s">
        <v>234</v>
      </c>
      <c r="D43" s="6" t="s">
        <v>163</v>
      </c>
      <c r="E43" s="2" t="s">
        <v>260</v>
      </c>
      <c r="F43" s="2" t="s">
        <v>272</v>
      </c>
      <c r="G43" s="7">
        <v>43613</v>
      </c>
      <c r="H43" s="8" t="str">
        <f t="shared" si="0"/>
        <v>6 Years 10 Months 3 Days</v>
      </c>
      <c r="I43" s="8" t="str">
        <f t="shared" si="1"/>
        <v>Eligible</v>
      </c>
      <c r="O43" s="2">
        <v>9876543210</v>
      </c>
    </row>
    <row r="44" spans="1:15" x14ac:dyDescent="0.25">
      <c r="A44" s="2">
        <v>43</v>
      </c>
      <c r="B44" s="2" t="s">
        <v>54</v>
      </c>
      <c r="C44" s="2" t="s">
        <v>235</v>
      </c>
      <c r="D44" s="6" t="s">
        <v>163</v>
      </c>
      <c r="E44" s="2" t="s">
        <v>255</v>
      </c>
      <c r="F44" s="2" t="s">
        <v>273</v>
      </c>
      <c r="G44" s="7">
        <v>43752</v>
      </c>
      <c r="H44" s="8" t="str">
        <f t="shared" si="0"/>
        <v>6 Years 5 Months 17 Days</v>
      </c>
      <c r="I44" s="8" t="str">
        <f t="shared" si="1"/>
        <v>Eligible</v>
      </c>
      <c r="O44" s="2">
        <v>9876543210</v>
      </c>
    </row>
    <row r="45" spans="1:15" x14ac:dyDescent="0.25">
      <c r="A45" s="2">
        <v>44</v>
      </c>
      <c r="B45" s="2" t="s">
        <v>55</v>
      </c>
      <c r="C45" s="2" t="s">
        <v>236</v>
      </c>
      <c r="D45" s="6" t="s">
        <v>163</v>
      </c>
      <c r="E45" s="2" t="s">
        <v>256</v>
      </c>
      <c r="F45" s="2" t="s">
        <v>274</v>
      </c>
      <c r="G45" s="7">
        <v>43891</v>
      </c>
      <c r="H45" s="8" t="str">
        <f t="shared" si="0"/>
        <v>6 Years 0 Months 30 Days</v>
      </c>
      <c r="I45" s="8" t="str">
        <f t="shared" si="1"/>
        <v>Eligible</v>
      </c>
      <c r="O45" s="2">
        <v>9876543210</v>
      </c>
    </row>
    <row r="46" spans="1:15" x14ac:dyDescent="0.25">
      <c r="A46" s="2">
        <v>45</v>
      </c>
      <c r="B46" s="2" t="s">
        <v>56</v>
      </c>
      <c r="C46" s="2" t="s">
        <v>237</v>
      </c>
      <c r="D46" s="6" t="s">
        <v>162</v>
      </c>
      <c r="E46" s="2" t="s">
        <v>257</v>
      </c>
      <c r="F46" s="2" t="s">
        <v>275</v>
      </c>
      <c r="G46" s="7">
        <v>43689</v>
      </c>
      <c r="H46" s="8" t="str">
        <f t="shared" si="0"/>
        <v>6 Years 7 Months 19 Days</v>
      </c>
      <c r="I46" s="8" t="str">
        <f t="shared" si="1"/>
        <v>Eligible</v>
      </c>
      <c r="O46" s="2">
        <v>9876543210</v>
      </c>
    </row>
    <row r="47" spans="1:15" x14ac:dyDescent="0.25">
      <c r="A47" s="2">
        <v>46</v>
      </c>
      <c r="B47" s="2" t="s">
        <v>57</v>
      </c>
      <c r="C47" s="2" t="s">
        <v>238</v>
      </c>
      <c r="D47" s="6" t="s">
        <v>163</v>
      </c>
      <c r="E47" s="2" t="s">
        <v>258</v>
      </c>
      <c r="F47" s="2" t="s">
        <v>276</v>
      </c>
      <c r="G47" s="7">
        <v>43807</v>
      </c>
      <c r="H47" s="8" t="str">
        <f t="shared" si="0"/>
        <v>6 Years 3 Months 23 Days</v>
      </c>
      <c r="I47" s="8" t="str">
        <f t="shared" si="1"/>
        <v>Eligible</v>
      </c>
      <c r="O47" s="2">
        <v>9876543210</v>
      </c>
    </row>
    <row r="48" spans="1:15" x14ac:dyDescent="0.25">
      <c r="A48" s="2">
        <v>47</v>
      </c>
      <c r="B48" s="2" t="s">
        <v>58</v>
      </c>
      <c r="C48" s="2" t="s">
        <v>239</v>
      </c>
      <c r="D48" s="6" t="s">
        <v>162</v>
      </c>
      <c r="E48" s="2" t="s">
        <v>259</v>
      </c>
      <c r="F48" s="2" t="s">
        <v>277</v>
      </c>
      <c r="G48" s="7">
        <v>43352</v>
      </c>
      <c r="H48" s="8" t="str">
        <f t="shared" si="0"/>
        <v>7 Years 6 Months 22 Days</v>
      </c>
      <c r="I48" s="8" t="str">
        <f t="shared" si="1"/>
        <v>Eligible</v>
      </c>
      <c r="O48" s="2">
        <v>9876543210</v>
      </c>
    </row>
    <row r="49" spans="1:15" x14ac:dyDescent="0.25">
      <c r="A49" s="2">
        <v>48</v>
      </c>
      <c r="B49" s="2" t="s">
        <v>59</v>
      </c>
      <c r="C49" s="2" t="s">
        <v>239</v>
      </c>
      <c r="D49" s="6" t="s">
        <v>162</v>
      </c>
      <c r="E49" s="2" t="s">
        <v>260</v>
      </c>
      <c r="F49" s="2" t="s">
        <v>278</v>
      </c>
      <c r="G49" s="7">
        <v>43353</v>
      </c>
      <c r="H49" s="8" t="str">
        <f t="shared" si="0"/>
        <v>7 Years 6 Months 21 Days</v>
      </c>
      <c r="I49" s="8" t="str">
        <f t="shared" si="1"/>
        <v>Eligible</v>
      </c>
      <c r="O49" s="2">
        <v>9876543210</v>
      </c>
    </row>
    <row r="50" spans="1:15" x14ac:dyDescent="0.25">
      <c r="A50" s="2">
        <v>49</v>
      </c>
      <c r="B50" s="2" t="s">
        <v>60</v>
      </c>
      <c r="C50" s="2" t="s">
        <v>240</v>
      </c>
      <c r="D50" s="6" t="s">
        <v>162</v>
      </c>
      <c r="E50" s="2" t="s">
        <v>261</v>
      </c>
      <c r="F50" s="2" t="s">
        <v>279</v>
      </c>
      <c r="G50" s="7">
        <v>43642</v>
      </c>
      <c r="H50" s="8" t="str">
        <f t="shared" si="0"/>
        <v>6 Years 9 Months 5 Days</v>
      </c>
      <c r="I50" s="8" t="str">
        <f t="shared" si="1"/>
        <v>Eligible</v>
      </c>
      <c r="O50" s="2">
        <v>9876543210</v>
      </c>
    </row>
    <row r="51" spans="1:15" x14ac:dyDescent="0.25">
      <c r="A51" s="2">
        <v>50</v>
      </c>
      <c r="B51" s="2" t="s">
        <v>61</v>
      </c>
      <c r="C51" s="2" t="s">
        <v>241</v>
      </c>
      <c r="D51" s="6" t="s">
        <v>163</v>
      </c>
      <c r="E51" s="2" t="s">
        <v>262</v>
      </c>
      <c r="F51" s="2" t="s">
        <v>280</v>
      </c>
      <c r="G51" s="7">
        <v>43679</v>
      </c>
      <c r="H51" s="8" t="str">
        <f t="shared" si="0"/>
        <v>6 Years 7 Months 29 Days</v>
      </c>
      <c r="I51" s="8" t="str">
        <f t="shared" si="1"/>
        <v>Eligible</v>
      </c>
      <c r="O51" s="2">
        <v>9876543210</v>
      </c>
    </row>
    <row r="52" spans="1:15" x14ac:dyDescent="0.25">
      <c r="A52" s="2">
        <v>51</v>
      </c>
      <c r="B52" s="2" t="s">
        <v>62</v>
      </c>
      <c r="C52" s="2" t="s">
        <v>242</v>
      </c>
      <c r="D52" s="6" t="s">
        <v>163</v>
      </c>
      <c r="E52" s="2" t="s">
        <v>263</v>
      </c>
      <c r="F52" s="2" t="s">
        <v>281</v>
      </c>
      <c r="G52" s="7">
        <v>43686</v>
      </c>
      <c r="H52" s="8" t="str">
        <f t="shared" si="0"/>
        <v>6 Years 7 Months 22 Days</v>
      </c>
      <c r="I52" s="8" t="str">
        <f t="shared" si="1"/>
        <v>Eligible</v>
      </c>
      <c r="O52" s="2">
        <v>9876543210</v>
      </c>
    </row>
    <row r="53" spans="1:15" x14ac:dyDescent="0.25">
      <c r="A53" s="2">
        <v>52</v>
      </c>
      <c r="B53" s="2" t="s">
        <v>63</v>
      </c>
      <c r="C53" s="2" t="s">
        <v>243</v>
      </c>
      <c r="D53" s="6" t="s">
        <v>163</v>
      </c>
      <c r="E53" s="2" t="s">
        <v>264</v>
      </c>
      <c r="F53" s="2" t="s">
        <v>282</v>
      </c>
      <c r="G53" s="7">
        <v>43748</v>
      </c>
      <c r="H53" s="8" t="str">
        <f t="shared" si="0"/>
        <v>6 Years 5 Months 21 Days</v>
      </c>
      <c r="I53" s="8" t="str">
        <f t="shared" si="1"/>
        <v>Eligible</v>
      </c>
      <c r="O53" s="2">
        <v>9876543210</v>
      </c>
    </row>
    <row r="54" spans="1:15" x14ac:dyDescent="0.25">
      <c r="A54" s="2">
        <v>53</v>
      </c>
      <c r="B54" s="2" t="s">
        <v>64</v>
      </c>
      <c r="C54" s="2" t="s">
        <v>244</v>
      </c>
      <c r="D54" s="6" t="s">
        <v>162</v>
      </c>
      <c r="E54" s="2" t="s">
        <v>248</v>
      </c>
      <c r="F54" s="2" t="s">
        <v>220</v>
      </c>
      <c r="G54" s="7">
        <v>43749</v>
      </c>
      <c r="H54" s="8" t="str">
        <f t="shared" si="0"/>
        <v>6 Years 5 Months 20 Days</v>
      </c>
      <c r="I54" s="8" t="str">
        <f t="shared" si="1"/>
        <v>Eligible</v>
      </c>
      <c r="O54" s="2">
        <v>9876543210</v>
      </c>
    </row>
    <row r="55" spans="1:15" x14ac:dyDescent="0.25">
      <c r="A55" s="2">
        <v>54</v>
      </c>
      <c r="B55" s="2" t="s">
        <v>65</v>
      </c>
      <c r="C55" s="2" t="s">
        <v>160</v>
      </c>
      <c r="D55" s="6" t="s">
        <v>162</v>
      </c>
      <c r="E55" s="2" t="s">
        <v>265</v>
      </c>
      <c r="F55" s="2" t="s">
        <v>283</v>
      </c>
      <c r="G55" s="7">
        <v>43740</v>
      </c>
      <c r="H55" s="8" t="str">
        <f t="shared" si="0"/>
        <v>6 Years 5 Months 29 Days</v>
      </c>
      <c r="I55" s="8" t="str">
        <f t="shared" si="1"/>
        <v>Eligible</v>
      </c>
      <c r="O55" s="2">
        <v>9876543210</v>
      </c>
    </row>
    <row r="56" spans="1:15" x14ac:dyDescent="0.25">
      <c r="A56" s="2">
        <v>55</v>
      </c>
      <c r="B56" s="2" t="s">
        <v>66</v>
      </c>
      <c r="C56" s="2" t="s">
        <v>245</v>
      </c>
      <c r="D56" s="6" t="s">
        <v>163</v>
      </c>
      <c r="E56" s="2" t="s">
        <v>266</v>
      </c>
      <c r="F56" s="2" t="s">
        <v>284</v>
      </c>
      <c r="G56" s="7">
        <v>43558</v>
      </c>
      <c r="H56" s="8" t="str">
        <f t="shared" si="0"/>
        <v>6 Years 11 Months 28 Days</v>
      </c>
      <c r="I56" s="8" t="str">
        <f t="shared" si="1"/>
        <v>Eligible</v>
      </c>
      <c r="O56" s="2">
        <v>9876543210</v>
      </c>
    </row>
    <row r="57" spans="1:15" x14ac:dyDescent="0.25">
      <c r="A57" s="2">
        <v>56</v>
      </c>
      <c r="B57" s="2" t="s">
        <v>67</v>
      </c>
      <c r="C57" s="2" t="s">
        <v>246</v>
      </c>
      <c r="D57" s="6" t="s">
        <v>162</v>
      </c>
      <c r="E57" s="2" t="s">
        <v>267</v>
      </c>
      <c r="F57" s="2" t="s">
        <v>285</v>
      </c>
      <c r="G57" s="7">
        <v>43680</v>
      </c>
      <c r="H57" s="8" t="str">
        <f t="shared" si="0"/>
        <v>6 Years 7 Months 28 Days</v>
      </c>
      <c r="I57" s="8" t="str">
        <f t="shared" si="1"/>
        <v>Eligible</v>
      </c>
      <c r="O57" s="2">
        <v>9876543210</v>
      </c>
    </row>
    <row r="58" spans="1:15" x14ac:dyDescent="0.25">
      <c r="A58" s="2">
        <v>57</v>
      </c>
      <c r="B58" s="2" t="s">
        <v>68</v>
      </c>
      <c r="C58" s="2" t="s">
        <v>179</v>
      </c>
      <c r="D58" s="6" t="s">
        <v>163</v>
      </c>
      <c r="E58" s="2" t="s">
        <v>268</v>
      </c>
      <c r="F58" s="2" t="s">
        <v>286</v>
      </c>
      <c r="G58" s="7">
        <v>43693</v>
      </c>
      <c r="H58" s="8" t="str">
        <f t="shared" si="0"/>
        <v>6 Years 7 Months 15 Days</v>
      </c>
      <c r="I58" s="8" t="str">
        <f t="shared" si="1"/>
        <v>Eligible</v>
      </c>
      <c r="O58" s="2">
        <v>9876543210</v>
      </c>
    </row>
    <row r="59" spans="1:15" x14ac:dyDescent="0.25">
      <c r="A59" s="2">
        <v>58</v>
      </c>
      <c r="B59" s="2" t="s">
        <v>69</v>
      </c>
      <c r="C59" s="2" t="s">
        <v>247</v>
      </c>
      <c r="D59" s="6" t="s">
        <v>163</v>
      </c>
      <c r="E59" s="2" t="s">
        <v>192</v>
      </c>
      <c r="F59" s="2" t="s">
        <v>286</v>
      </c>
      <c r="G59" s="7">
        <v>43599</v>
      </c>
      <c r="H59" s="8" t="str">
        <f t="shared" si="0"/>
        <v>6 Years 10 Months 17 Days</v>
      </c>
      <c r="I59" s="8" t="str">
        <f t="shared" si="1"/>
        <v>Eligible</v>
      </c>
      <c r="O59" s="2">
        <v>9876543210</v>
      </c>
    </row>
    <row r="60" spans="1:15" x14ac:dyDescent="0.25">
      <c r="A60" s="2">
        <v>59</v>
      </c>
      <c r="B60" s="2" t="s">
        <v>70</v>
      </c>
      <c r="H60" s="8" t="str">
        <f t="shared" si="0"/>
        <v/>
      </c>
      <c r="I60" s="8" t="str">
        <f t="shared" si="1"/>
        <v/>
      </c>
    </row>
    <row r="61" spans="1:15" x14ac:dyDescent="0.25">
      <c r="A61" s="2">
        <v>60</v>
      </c>
      <c r="B61" s="2" t="s">
        <v>71</v>
      </c>
      <c r="H61" s="8" t="str">
        <f t="shared" si="0"/>
        <v/>
      </c>
      <c r="I61" s="8" t="str">
        <f t="shared" si="1"/>
        <v/>
      </c>
    </row>
    <row r="62" spans="1:15" x14ac:dyDescent="0.25">
      <c r="A62" s="2">
        <v>61</v>
      </c>
      <c r="B62" s="2" t="s">
        <v>72</v>
      </c>
      <c r="H62" s="8" t="str">
        <f t="shared" si="0"/>
        <v/>
      </c>
      <c r="I62" s="8" t="str">
        <f t="shared" si="1"/>
        <v/>
      </c>
    </row>
    <row r="63" spans="1:15" x14ac:dyDescent="0.25">
      <c r="A63" s="2">
        <v>62</v>
      </c>
      <c r="B63" s="2" t="s">
        <v>73</v>
      </c>
      <c r="H63" s="8" t="str">
        <f t="shared" si="0"/>
        <v/>
      </c>
      <c r="I63" s="8" t="str">
        <f t="shared" si="1"/>
        <v/>
      </c>
    </row>
    <row r="64" spans="1:15" x14ac:dyDescent="0.25">
      <c r="A64" s="2">
        <v>63</v>
      </c>
      <c r="B64" s="2" t="s">
        <v>74</v>
      </c>
      <c r="H64" s="8" t="str">
        <f t="shared" si="0"/>
        <v/>
      </c>
      <c r="I64" s="8" t="str">
        <f t="shared" si="1"/>
        <v/>
      </c>
    </row>
    <row r="65" spans="1:9" x14ac:dyDescent="0.25">
      <c r="A65" s="2">
        <v>64</v>
      </c>
      <c r="B65" s="2" t="s">
        <v>75</v>
      </c>
      <c r="H65" s="8" t="str">
        <f t="shared" si="0"/>
        <v/>
      </c>
      <c r="I65" s="8" t="str">
        <f t="shared" si="1"/>
        <v/>
      </c>
    </row>
    <row r="66" spans="1:9" x14ac:dyDescent="0.25">
      <c r="A66" s="2">
        <v>65</v>
      </c>
      <c r="B66" s="2" t="s">
        <v>76</v>
      </c>
      <c r="H66" s="8" t="str">
        <f t="shared" si="0"/>
        <v/>
      </c>
      <c r="I66" s="8" t="str">
        <f t="shared" si="1"/>
        <v/>
      </c>
    </row>
    <row r="67" spans="1:9" x14ac:dyDescent="0.25">
      <c r="A67" s="2">
        <v>66</v>
      </c>
      <c r="B67" s="2" t="s">
        <v>77</v>
      </c>
      <c r="H67" s="8" t="str">
        <f t="shared" ref="H67:H121" si="2">IF(ISBLANK(G67),"",DATEDIF(G67,DATE(2026,3,31),"Y")&amp;" Years "&amp;DATEDIF(G67,DATE(2026,3,31),"YM")&amp;" Months "&amp;DATEDIF(G67,DATE(2026,3,31),"MD")&amp;" Days")</f>
        <v/>
      </c>
      <c r="I67" s="8" t="str">
        <f t="shared" ref="I67:I121" si="3">IF(ISBLANK(G67),"",IF(AND(DATEDIF(G67,DATE(2026,3,31),"Y")&gt;=6,DATEDIF(G67,DATE(2026,3,31),"Y")&lt;8),"Eligible","Ineligible"))</f>
        <v/>
      </c>
    </row>
    <row r="68" spans="1:9" x14ac:dyDescent="0.25">
      <c r="A68" s="2">
        <v>67</v>
      </c>
      <c r="B68" s="2" t="s">
        <v>78</v>
      </c>
      <c r="H68" s="8" t="str">
        <f t="shared" si="2"/>
        <v/>
      </c>
      <c r="I68" s="8" t="str">
        <f t="shared" si="3"/>
        <v/>
      </c>
    </row>
    <row r="69" spans="1:9" x14ac:dyDescent="0.25">
      <c r="A69" s="2">
        <v>68</v>
      </c>
      <c r="B69" s="2" t="s">
        <v>79</v>
      </c>
      <c r="H69" s="8" t="str">
        <f t="shared" si="2"/>
        <v/>
      </c>
      <c r="I69" s="8" t="str">
        <f t="shared" si="3"/>
        <v/>
      </c>
    </row>
    <row r="70" spans="1:9" x14ac:dyDescent="0.25">
      <c r="A70" s="2">
        <v>69</v>
      </c>
      <c r="B70" s="2" t="s">
        <v>80</v>
      </c>
      <c r="H70" s="8" t="str">
        <f t="shared" si="2"/>
        <v/>
      </c>
      <c r="I70" s="8" t="str">
        <f t="shared" si="3"/>
        <v/>
      </c>
    </row>
    <row r="71" spans="1:9" x14ac:dyDescent="0.25">
      <c r="A71" s="2">
        <v>70</v>
      </c>
      <c r="B71" s="2" t="s">
        <v>81</v>
      </c>
      <c r="H71" s="8" t="str">
        <f t="shared" si="2"/>
        <v/>
      </c>
      <c r="I71" s="8" t="str">
        <f t="shared" si="3"/>
        <v/>
      </c>
    </row>
    <row r="72" spans="1:9" x14ac:dyDescent="0.25">
      <c r="A72" s="2">
        <v>71</v>
      </c>
      <c r="B72" s="2" t="s">
        <v>82</v>
      </c>
      <c r="H72" s="8" t="str">
        <f t="shared" si="2"/>
        <v/>
      </c>
      <c r="I72" s="8" t="str">
        <f t="shared" si="3"/>
        <v/>
      </c>
    </row>
    <row r="73" spans="1:9" x14ac:dyDescent="0.25">
      <c r="A73" s="2">
        <v>72</v>
      </c>
      <c r="B73" s="2" t="s">
        <v>83</v>
      </c>
      <c r="H73" s="8" t="str">
        <f t="shared" si="2"/>
        <v/>
      </c>
      <c r="I73" s="8" t="str">
        <f t="shared" si="3"/>
        <v/>
      </c>
    </row>
    <row r="74" spans="1:9" x14ac:dyDescent="0.25">
      <c r="A74" s="2">
        <v>73</v>
      </c>
      <c r="B74" s="2" t="s">
        <v>84</v>
      </c>
      <c r="H74" s="8" t="str">
        <f t="shared" si="2"/>
        <v/>
      </c>
      <c r="I74" s="8" t="str">
        <f t="shared" si="3"/>
        <v/>
      </c>
    </row>
    <row r="75" spans="1:9" x14ac:dyDescent="0.25">
      <c r="A75" s="2">
        <v>74</v>
      </c>
      <c r="B75" s="2" t="s">
        <v>85</v>
      </c>
      <c r="H75" s="8" t="str">
        <f t="shared" si="2"/>
        <v/>
      </c>
      <c r="I75" s="8" t="str">
        <f t="shared" si="3"/>
        <v/>
      </c>
    </row>
    <row r="76" spans="1:9" x14ac:dyDescent="0.25">
      <c r="A76" s="2">
        <v>75</v>
      </c>
      <c r="B76" s="2" t="s">
        <v>86</v>
      </c>
      <c r="H76" s="8" t="str">
        <f t="shared" si="2"/>
        <v/>
      </c>
      <c r="I76" s="8" t="str">
        <f t="shared" si="3"/>
        <v/>
      </c>
    </row>
    <row r="77" spans="1:9" x14ac:dyDescent="0.25">
      <c r="A77" s="2">
        <v>76</v>
      </c>
      <c r="B77" s="2" t="s">
        <v>87</v>
      </c>
      <c r="H77" s="8" t="str">
        <f t="shared" si="2"/>
        <v/>
      </c>
      <c r="I77" s="8" t="str">
        <f t="shared" si="3"/>
        <v/>
      </c>
    </row>
    <row r="78" spans="1:9" x14ac:dyDescent="0.25">
      <c r="A78" s="2">
        <v>77</v>
      </c>
      <c r="B78" s="2" t="s">
        <v>88</v>
      </c>
      <c r="H78" s="8" t="str">
        <f t="shared" si="2"/>
        <v/>
      </c>
      <c r="I78" s="8" t="str">
        <f t="shared" si="3"/>
        <v/>
      </c>
    </row>
    <row r="79" spans="1:9" x14ac:dyDescent="0.25">
      <c r="A79" s="2">
        <v>78</v>
      </c>
      <c r="B79" s="2" t="s">
        <v>89</v>
      </c>
      <c r="H79" s="8" t="str">
        <f t="shared" si="2"/>
        <v/>
      </c>
      <c r="I79" s="8" t="str">
        <f t="shared" si="3"/>
        <v/>
      </c>
    </row>
    <row r="80" spans="1:9" x14ac:dyDescent="0.25">
      <c r="A80" s="2">
        <v>79</v>
      </c>
      <c r="B80" s="2" t="s">
        <v>90</v>
      </c>
      <c r="H80" s="8" t="str">
        <f t="shared" si="2"/>
        <v/>
      </c>
      <c r="I80" s="8" t="str">
        <f t="shared" si="3"/>
        <v/>
      </c>
    </row>
    <row r="81" spans="1:9" x14ac:dyDescent="0.25">
      <c r="A81" s="2">
        <v>80</v>
      </c>
      <c r="B81" s="2" t="s">
        <v>91</v>
      </c>
      <c r="H81" s="8" t="str">
        <f t="shared" si="2"/>
        <v/>
      </c>
      <c r="I81" s="8" t="str">
        <f t="shared" si="3"/>
        <v/>
      </c>
    </row>
    <row r="82" spans="1:9" x14ac:dyDescent="0.25">
      <c r="A82" s="2">
        <v>81</v>
      </c>
      <c r="B82" s="2" t="s">
        <v>92</v>
      </c>
      <c r="H82" s="8" t="str">
        <f t="shared" si="2"/>
        <v/>
      </c>
      <c r="I82" s="8" t="str">
        <f t="shared" si="3"/>
        <v/>
      </c>
    </row>
    <row r="83" spans="1:9" x14ac:dyDescent="0.25">
      <c r="A83" s="2">
        <v>82</v>
      </c>
      <c r="B83" s="2" t="s">
        <v>93</v>
      </c>
      <c r="H83" s="8" t="str">
        <f t="shared" si="2"/>
        <v/>
      </c>
      <c r="I83" s="8" t="str">
        <f t="shared" si="3"/>
        <v/>
      </c>
    </row>
    <row r="84" spans="1:9" x14ac:dyDescent="0.25">
      <c r="A84" s="2">
        <v>83</v>
      </c>
      <c r="B84" s="2" t="s">
        <v>94</v>
      </c>
      <c r="H84" s="8" t="str">
        <f t="shared" si="2"/>
        <v/>
      </c>
      <c r="I84" s="8" t="str">
        <f t="shared" si="3"/>
        <v/>
      </c>
    </row>
    <row r="85" spans="1:9" x14ac:dyDescent="0.25">
      <c r="A85" s="2">
        <v>84</v>
      </c>
      <c r="B85" s="2" t="s">
        <v>95</v>
      </c>
      <c r="H85" s="8" t="str">
        <f t="shared" si="2"/>
        <v/>
      </c>
      <c r="I85" s="8" t="str">
        <f t="shared" si="3"/>
        <v/>
      </c>
    </row>
    <row r="86" spans="1:9" x14ac:dyDescent="0.25">
      <c r="A86" s="2">
        <v>85</v>
      </c>
      <c r="B86" s="2" t="s">
        <v>96</v>
      </c>
      <c r="H86" s="8" t="str">
        <f t="shared" si="2"/>
        <v/>
      </c>
      <c r="I86" s="8" t="str">
        <f t="shared" si="3"/>
        <v/>
      </c>
    </row>
    <row r="87" spans="1:9" x14ac:dyDescent="0.25">
      <c r="A87" s="2">
        <v>86</v>
      </c>
      <c r="B87" s="2" t="s">
        <v>97</v>
      </c>
      <c r="H87" s="8" t="str">
        <f t="shared" si="2"/>
        <v/>
      </c>
      <c r="I87" s="8" t="str">
        <f t="shared" si="3"/>
        <v/>
      </c>
    </row>
    <row r="88" spans="1:9" x14ac:dyDescent="0.25">
      <c r="A88" s="2">
        <v>87</v>
      </c>
      <c r="B88" s="2" t="s">
        <v>98</v>
      </c>
      <c r="H88" s="8" t="str">
        <f t="shared" si="2"/>
        <v/>
      </c>
      <c r="I88" s="8" t="str">
        <f t="shared" si="3"/>
        <v/>
      </c>
    </row>
    <row r="89" spans="1:9" x14ac:dyDescent="0.25">
      <c r="A89" s="2">
        <v>88</v>
      </c>
      <c r="B89" s="2" t="s">
        <v>99</v>
      </c>
      <c r="H89" s="8" t="str">
        <f t="shared" si="2"/>
        <v/>
      </c>
      <c r="I89" s="8" t="str">
        <f t="shared" si="3"/>
        <v/>
      </c>
    </row>
    <row r="90" spans="1:9" x14ac:dyDescent="0.25">
      <c r="A90" s="2">
        <v>89</v>
      </c>
      <c r="B90" s="2" t="s">
        <v>100</v>
      </c>
      <c r="H90" s="8" t="str">
        <f t="shared" si="2"/>
        <v/>
      </c>
      <c r="I90" s="8" t="str">
        <f t="shared" si="3"/>
        <v/>
      </c>
    </row>
    <row r="91" spans="1:9" x14ac:dyDescent="0.25">
      <c r="A91" s="2">
        <v>90</v>
      </c>
      <c r="B91" s="2" t="s">
        <v>101</v>
      </c>
      <c r="H91" s="8" t="str">
        <f t="shared" si="2"/>
        <v/>
      </c>
      <c r="I91" s="8" t="str">
        <f t="shared" si="3"/>
        <v/>
      </c>
    </row>
    <row r="92" spans="1:9" x14ac:dyDescent="0.25">
      <c r="A92" s="2">
        <v>91</v>
      </c>
      <c r="B92" s="2" t="s">
        <v>102</v>
      </c>
      <c r="H92" s="8" t="str">
        <f t="shared" si="2"/>
        <v/>
      </c>
      <c r="I92" s="8" t="str">
        <f t="shared" si="3"/>
        <v/>
      </c>
    </row>
    <row r="93" spans="1:9" x14ac:dyDescent="0.25">
      <c r="A93" s="2">
        <v>92</v>
      </c>
      <c r="B93" s="2" t="s">
        <v>103</v>
      </c>
      <c r="H93" s="8" t="str">
        <f t="shared" si="2"/>
        <v/>
      </c>
      <c r="I93" s="8" t="str">
        <f t="shared" si="3"/>
        <v/>
      </c>
    </row>
    <row r="94" spans="1:9" x14ac:dyDescent="0.25">
      <c r="A94" s="2">
        <v>93</v>
      </c>
      <c r="B94" s="2" t="s">
        <v>104</v>
      </c>
      <c r="H94" s="8" t="str">
        <f t="shared" si="2"/>
        <v/>
      </c>
      <c r="I94" s="8" t="str">
        <f t="shared" si="3"/>
        <v/>
      </c>
    </row>
    <row r="95" spans="1:9" x14ac:dyDescent="0.25">
      <c r="A95" s="2">
        <v>94</v>
      </c>
      <c r="B95" s="2" t="s">
        <v>105</v>
      </c>
      <c r="H95" s="8" t="str">
        <f t="shared" si="2"/>
        <v/>
      </c>
      <c r="I95" s="8" t="str">
        <f t="shared" si="3"/>
        <v/>
      </c>
    </row>
    <row r="96" spans="1:9" x14ac:dyDescent="0.25">
      <c r="A96" s="2">
        <v>95</v>
      </c>
      <c r="B96" s="2" t="s">
        <v>106</v>
      </c>
      <c r="H96" s="8" t="str">
        <f t="shared" si="2"/>
        <v/>
      </c>
      <c r="I96" s="8" t="str">
        <f t="shared" si="3"/>
        <v/>
      </c>
    </row>
    <row r="97" spans="1:9" x14ac:dyDescent="0.25">
      <c r="A97" s="2">
        <v>96</v>
      </c>
      <c r="B97" s="2" t="s">
        <v>107</v>
      </c>
      <c r="H97" s="8" t="str">
        <f t="shared" si="2"/>
        <v/>
      </c>
      <c r="I97" s="8" t="str">
        <f t="shared" si="3"/>
        <v/>
      </c>
    </row>
    <row r="98" spans="1:9" x14ac:dyDescent="0.25">
      <c r="A98" s="2">
        <v>97</v>
      </c>
      <c r="B98" s="2" t="s">
        <v>108</v>
      </c>
      <c r="H98" s="8" t="str">
        <f t="shared" si="2"/>
        <v/>
      </c>
      <c r="I98" s="8" t="str">
        <f t="shared" si="3"/>
        <v/>
      </c>
    </row>
    <row r="99" spans="1:9" x14ac:dyDescent="0.25">
      <c r="A99" s="2">
        <v>98</v>
      </c>
      <c r="B99" s="2" t="s">
        <v>109</v>
      </c>
      <c r="H99" s="8" t="str">
        <f t="shared" si="2"/>
        <v/>
      </c>
      <c r="I99" s="8" t="str">
        <f t="shared" si="3"/>
        <v/>
      </c>
    </row>
    <row r="100" spans="1:9" x14ac:dyDescent="0.25">
      <c r="A100" s="2">
        <v>99</v>
      </c>
      <c r="B100" s="2" t="s">
        <v>110</v>
      </c>
      <c r="H100" s="8" t="str">
        <f t="shared" si="2"/>
        <v/>
      </c>
      <c r="I100" s="8" t="str">
        <f t="shared" si="3"/>
        <v/>
      </c>
    </row>
    <row r="101" spans="1:9" x14ac:dyDescent="0.25">
      <c r="A101" s="2">
        <v>100</v>
      </c>
      <c r="B101" s="2" t="s">
        <v>111</v>
      </c>
      <c r="H101" s="8" t="str">
        <f t="shared" si="2"/>
        <v/>
      </c>
      <c r="I101" s="8" t="str">
        <f t="shared" si="3"/>
        <v/>
      </c>
    </row>
    <row r="102" spans="1:9" x14ac:dyDescent="0.25">
      <c r="A102" s="2">
        <v>101</v>
      </c>
      <c r="B102" s="2" t="s">
        <v>112</v>
      </c>
      <c r="H102" s="8" t="str">
        <f t="shared" si="2"/>
        <v/>
      </c>
      <c r="I102" s="8" t="str">
        <f t="shared" si="3"/>
        <v/>
      </c>
    </row>
    <row r="103" spans="1:9" x14ac:dyDescent="0.25">
      <c r="A103" s="2">
        <v>102</v>
      </c>
      <c r="B103" s="2" t="s">
        <v>113</v>
      </c>
      <c r="H103" s="8" t="str">
        <f t="shared" si="2"/>
        <v/>
      </c>
      <c r="I103" s="8" t="str">
        <f t="shared" si="3"/>
        <v/>
      </c>
    </row>
    <row r="104" spans="1:9" x14ac:dyDescent="0.25">
      <c r="A104" s="2">
        <v>103</v>
      </c>
      <c r="B104" s="2" t="s">
        <v>114</v>
      </c>
      <c r="H104" s="8" t="str">
        <f t="shared" si="2"/>
        <v/>
      </c>
      <c r="I104" s="8" t="str">
        <f t="shared" si="3"/>
        <v/>
      </c>
    </row>
    <row r="105" spans="1:9" x14ac:dyDescent="0.25">
      <c r="A105" s="2">
        <v>104</v>
      </c>
      <c r="B105" s="2" t="s">
        <v>115</v>
      </c>
      <c r="H105" s="8" t="str">
        <f t="shared" si="2"/>
        <v/>
      </c>
      <c r="I105" s="8" t="str">
        <f t="shared" si="3"/>
        <v/>
      </c>
    </row>
    <row r="106" spans="1:9" x14ac:dyDescent="0.25">
      <c r="A106" s="2">
        <v>105</v>
      </c>
      <c r="B106" s="2" t="s">
        <v>116</v>
      </c>
      <c r="H106" s="8" t="str">
        <f t="shared" si="2"/>
        <v/>
      </c>
      <c r="I106" s="8" t="str">
        <f t="shared" si="3"/>
        <v/>
      </c>
    </row>
    <row r="107" spans="1:9" x14ac:dyDescent="0.25">
      <c r="A107" s="2">
        <v>106</v>
      </c>
      <c r="B107" s="2" t="s">
        <v>117</v>
      </c>
      <c r="H107" s="8" t="str">
        <f t="shared" si="2"/>
        <v/>
      </c>
      <c r="I107" s="8" t="str">
        <f t="shared" si="3"/>
        <v/>
      </c>
    </row>
    <row r="108" spans="1:9" x14ac:dyDescent="0.25">
      <c r="A108" s="2">
        <v>107</v>
      </c>
      <c r="B108" s="2" t="s">
        <v>118</v>
      </c>
      <c r="H108" s="8" t="str">
        <f t="shared" si="2"/>
        <v/>
      </c>
      <c r="I108" s="8" t="str">
        <f t="shared" si="3"/>
        <v/>
      </c>
    </row>
    <row r="109" spans="1:9" x14ac:dyDescent="0.25">
      <c r="A109" s="2">
        <v>108</v>
      </c>
      <c r="B109" s="2" t="s">
        <v>119</v>
      </c>
      <c r="H109" s="8" t="str">
        <f t="shared" si="2"/>
        <v/>
      </c>
      <c r="I109" s="8" t="str">
        <f t="shared" si="3"/>
        <v/>
      </c>
    </row>
    <row r="110" spans="1:9" x14ac:dyDescent="0.25">
      <c r="A110" s="2">
        <v>109</v>
      </c>
      <c r="B110" s="2" t="s">
        <v>120</v>
      </c>
      <c r="H110" s="8" t="str">
        <f t="shared" si="2"/>
        <v/>
      </c>
      <c r="I110" s="8" t="str">
        <f t="shared" si="3"/>
        <v/>
      </c>
    </row>
    <row r="111" spans="1:9" x14ac:dyDescent="0.25">
      <c r="A111" s="2">
        <v>110</v>
      </c>
      <c r="B111" s="2" t="s">
        <v>121</v>
      </c>
      <c r="H111" s="8" t="str">
        <f t="shared" si="2"/>
        <v/>
      </c>
      <c r="I111" s="8" t="str">
        <f t="shared" si="3"/>
        <v/>
      </c>
    </row>
    <row r="112" spans="1:9" x14ac:dyDescent="0.25">
      <c r="A112" s="2">
        <v>111</v>
      </c>
      <c r="B112" s="2" t="s">
        <v>122</v>
      </c>
      <c r="H112" s="8" t="str">
        <f t="shared" si="2"/>
        <v/>
      </c>
      <c r="I112" s="8" t="str">
        <f t="shared" si="3"/>
        <v/>
      </c>
    </row>
    <row r="113" spans="1:9" x14ac:dyDescent="0.25">
      <c r="A113" s="2">
        <v>112</v>
      </c>
      <c r="B113" s="2" t="s">
        <v>123</v>
      </c>
      <c r="H113" s="8" t="str">
        <f t="shared" si="2"/>
        <v/>
      </c>
      <c r="I113" s="8" t="str">
        <f t="shared" si="3"/>
        <v/>
      </c>
    </row>
    <row r="114" spans="1:9" x14ac:dyDescent="0.25">
      <c r="A114" s="2">
        <v>113</v>
      </c>
      <c r="B114" s="2" t="s">
        <v>124</v>
      </c>
      <c r="H114" s="8" t="str">
        <f t="shared" si="2"/>
        <v/>
      </c>
      <c r="I114" s="8" t="str">
        <f t="shared" si="3"/>
        <v/>
      </c>
    </row>
    <row r="115" spans="1:9" x14ac:dyDescent="0.25">
      <c r="A115" s="2">
        <v>114</v>
      </c>
      <c r="B115" s="2" t="s">
        <v>125</v>
      </c>
      <c r="H115" s="8" t="str">
        <f t="shared" si="2"/>
        <v/>
      </c>
      <c r="I115" s="8" t="str">
        <f t="shared" si="3"/>
        <v/>
      </c>
    </row>
    <row r="116" spans="1:9" x14ac:dyDescent="0.25">
      <c r="A116" s="2">
        <v>115</v>
      </c>
      <c r="B116" s="2" t="s">
        <v>126</v>
      </c>
      <c r="H116" s="8" t="str">
        <f t="shared" si="2"/>
        <v/>
      </c>
      <c r="I116" s="8" t="str">
        <f t="shared" si="3"/>
        <v/>
      </c>
    </row>
    <row r="117" spans="1:9" x14ac:dyDescent="0.25">
      <c r="A117" s="2">
        <v>116</v>
      </c>
      <c r="B117" s="2" t="s">
        <v>127</v>
      </c>
      <c r="H117" s="8" t="str">
        <f t="shared" si="2"/>
        <v/>
      </c>
      <c r="I117" s="8" t="str">
        <f t="shared" si="3"/>
        <v/>
      </c>
    </row>
    <row r="118" spans="1:9" x14ac:dyDescent="0.25">
      <c r="A118" s="2">
        <v>117</v>
      </c>
      <c r="B118" s="2" t="s">
        <v>128</v>
      </c>
      <c r="H118" s="8" t="str">
        <f t="shared" si="2"/>
        <v/>
      </c>
      <c r="I118" s="8" t="str">
        <f t="shared" si="3"/>
        <v/>
      </c>
    </row>
    <row r="119" spans="1:9" x14ac:dyDescent="0.25">
      <c r="A119" s="2">
        <v>118</v>
      </c>
      <c r="B119" s="2" t="s">
        <v>129</v>
      </c>
      <c r="H119" s="8" t="str">
        <f t="shared" si="2"/>
        <v/>
      </c>
      <c r="I119" s="8" t="str">
        <f t="shared" si="3"/>
        <v/>
      </c>
    </row>
    <row r="120" spans="1:9" x14ac:dyDescent="0.25">
      <c r="A120" s="2">
        <v>119</v>
      </c>
      <c r="B120" s="2" t="s">
        <v>130</v>
      </c>
      <c r="H120" s="8" t="str">
        <f t="shared" si="2"/>
        <v/>
      </c>
      <c r="I120" s="8" t="str">
        <f t="shared" si="3"/>
        <v/>
      </c>
    </row>
    <row r="121" spans="1:9" x14ac:dyDescent="0.25">
      <c r="A121" s="2">
        <v>120</v>
      </c>
      <c r="B121" s="2" t="s">
        <v>131</v>
      </c>
      <c r="H121" s="8" t="str">
        <f t="shared" si="2"/>
        <v/>
      </c>
      <c r="I121" s="8" t="str">
        <f t="shared" si="3"/>
        <v/>
      </c>
    </row>
  </sheetData>
  <phoneticPr fontId="2" type="noConversion"/>
  <conditionalFormatting sqref="I1:I1048576">
    <cfRule type="cellIs" dxfId="0" priority="1" operator="equal">
      <formula>"Ineligible"</formula>
    </cfRule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2026-07-31T16:41:45Z</dcterms:created>
  <dcterms:modified xsi:type="dcterms:W3CDTF">2026-08-02T17:18:49Z</dcterms:modified>
</cp:coreProperties>
</file>